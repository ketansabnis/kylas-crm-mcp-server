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ketansabnis/projects/kylas-crm-mcp-server/onboarding_reports/"/>
    </mc:Choice>
  </mc:AlternateContent>
  <xr:revisionPtr revIDLastSave="0" documentId="11_2C6C0F9FA8EBE7B14537CECF585014102C7F7AEB" xr6:coauthVersionLast="47" xr6:coauthVersionMax="47" xr10:uidLastSave="{00000000-0000-0000-0000-000000000000}"/>
  <bookViews>
    <workbookView xWindow="0" yWindow="660" windowWidth="30240" windowHeight="18980" tabRatio="500" activeTab="7" xr2:uid="{00000000-000D-0000-FFFF-FFFF00000000}"/>
  </bookViews>
  <sheets>
    <sheet name="1. Stats" sheetId="1" r:id="rId1"/>
    <sheet name="2. Exec Summary (CEO-CRO)" sheetId="2" r:id="rId2"/>
    <sheet name="3. Owner Scorecard" sheetId="3" r:id="rId3"/>
    <sheet name="4. Deal-Level Tracker" sheetId="4" r:id="rId4"/>
    <sheet name="5. Large-Stuck-Attention" sheetId="5" r:id="rId5"/>
    <sheet name="6. Pending-on-Customer Check" sheetId="6" r:id="rId6"/>
    <sheet name="7. Customer Category" sheetId="7" r:id="rId7"/>
    <sheet name="8. Re-grade (value+brand)" sheetId="8" r:id="rId8"/>
    <sheet name="9. Comparison &amp; Movement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7" l="1"/>
  <c r="B51" i="1"/>
  <c r="B41" i="1"/>
  <c r="B32" i="1"/>
  <c r="B22" i="1"/>
  <c r="B13" i="1"/>
</calcChain>
</file>

<file path=xl/sharedStrings.xml><?xml version="1.0" encoding="utf-8"?>
<sst xmlns="http://schemas.openxmlformats.org/spreadsheetml/2006/main" count="2000" uniqueCount="508">
  <si>
    <t>Sell.do Onboarding Pipeline - Statistics</t>
  </si>
  <si>
    <t>Pipeline 27474  |  64 open deals  |  Snapshot 2026-06-29</t>
  </si>
  <si>
    <t>Ageing = days since deal CREATED (created_at).  Movement = days since last activity (separate metric).</t>
  </si>
  <si>
    <t>By Owner</t>
  </si>
  <si>
    <t>Category</t>
  </si>
  <si>
    <t>Count</t>
  </si>
  <si>
    <t>Venkat Viswavardhan</t>
  </si>
  <si>
    <t>Muntazar Mhate</t>
  </si>
  <si>
    <t>Sahil Jane</t>
  </si>
  <si>
    <t>Shweta Gouda</t>
  </si>
  <si>
    <t>Sanket Nampalliwar</t>
  </si>
  <si>
    <t>Sourabh Sahu</t>
  </si>
  <si>
    <t>Raahul Ramanan R</t>
  </si>
  <si>
    <t>Total</t>
  </si>
  <si>
    <t>By Pipeline Stage</t>
  </si>
  <si>
    <t>Open</t>
  </si>
  <si>
    <t>Kickoff Done</t>
  </si>
  <si>
    <t>Onboarding In Progress</t>
  </si>
  <si>
    <t>Pending on Customer</t>
  </si>
  <si>
    <t>Under Usage Tracking</t>
  </si>
  <si>
    <t>Deal Ageing = days since CREATED (created_at)</t>
  </si>
  <si>
    <t>&lt;14 days</t>
  </si>
  <si>
    <t>14-30 days</t>
  </si>
  <si>
    <t>30-60 days</t>
  </si>
  <si>
    <t>60-90 days</t>
  </si>
  <si>
    <t>90-180 days</t>
  </si>
  <si>
    <t>180+ days</t>
  </si>
  <si>
    <t>Movement = days since LAST ACTIVITY</t>
  </si>
  <si>
    <t>&lt;=5 days (healthy)</t>
  </si>
  <si>
    <t>5-7 days</t>
  </si>
  <si>
    <t>7-15 days</t>
  </si>
  <si>
    <t>15-30 days</t>
  </si>
  <si>
    <t>30+ days</t>
  </si>
  <si>
    <t>Touch cadence = days since LAST NOTE (interim proxy until meetings are logged)</t>
  </si>
  <si>
    <t>&lt;=5 days (OK)</t>
  </si>
  <si>
    <t>6-10 days</t>
  </si>
  <si>
    <t>11-15 days</t>
  </si>
  <si>
    <t>16-30 days</t>
  </si>
  <si>
    <t>31+ days</t>
  </si>
  <si>
    <t>Never (no note)</t>
  </si>
  <si>
    <t>Meetings ON DEALS (not yet logged - format ready going forward)</t>
  </si>
  <si>
    <t>Deals with a meeting logged on the deal</t>
  </si>
  <si>
    <t>Meeting scheduled/conducted within 5 days</t>
  </si>
  <si>
    <t>NO meeting logged (team to start logging)</t>
  </si>
  <si>
    <t>Risk &amp; Data-Quality Flags</t>
  </si>
  <si>
    <t>No activity 5+ days (your risk rule)</t>
  </si>
  <si>
    <t>No notes logged at all</t>
  </si>
  <si>
    <t>Target go-live date already breached</t>
  </si>
  <si>
    <t>Customer 'Yet to sign up'</t>
  </si>
  <si>
    <t>No future follow-up task</t>
  </si>
  <si>
    <t>Has an OVERDUE task</t>
  </si>
  <si>
    <t>Billed Amount field blank</t>
  </si>
  <si>
    <t>Estimated Value populated</t>
  </si>
  <si>
    <t>Meetings linked to these onboarding deals</t>
  </si>
  <si>
    <t>Onboarding Pipeline - Executive Summary</t>
  </si>
  <si>
    <t>For CEO &amp; CRO  |  2026-06-29</t>
  </si>
  <si>
    <t>The headline</t>
  </si>
  <si>
    <t>83 deals are open in onboarding. Nearly half (40) are already past their committed go-live date, and 33 (40%) have had no activity in 5+ days. Onboarding is meant to run in weeks - 7 deals have been open 180+ days.</t>
  </si>
  <si>
    <t>The bigger structural issue: the system is not telling the truth. 26 of 83 deals (31%) have zero notes, 80 of 83 have no healthy next task, Billed Amount is blank on 65% and Estimated Value is empty on every deal. We cannot currently see revenue-at-risk in any report.</t>
  </si>
  <si>
    <t>Where the money is exposed</t>
  </si>
  <si>
    <t>Cash collected but customer not live ('Yet to sign up' while paid): Raghava Elite Park ~Rs12.1L, Dhanvanthari Rs9.8L (only Rs6.8L received), Greenrich Rs7.06L, Definer Rs5.07L, Sujay Avalon Rs3.56L. Plus uncollected balances: Dhanvanthari ~Rs3.0L and Sandeep ~Rs3.2L outstanding.</t>
  </si>
  <si>
    <t>Largest single account at risk: Kunwarji Realtors - 150 licenses, Category A, every setup step 'Waiting on customer', go-live already breached, and ZERO notes.</t>
  </si>
  <si>
    <t>What we are asking leadership to back</t>
  </si>
  <si>
    <t>1. A weekly onboarding hygiene standard: every open deal must have a LOGGED MEETING (scheduled or conducted) at least every 5 days, a dated note, and a next task; stage moved at each milestone. (Meetings are currently not logged on deals at all.)</t>
  </si>
  <si>
    <t>2. Make Billed Amount mandatory at deal creation so revenue-at-risk is visible.</t>
  </si>
  <si>
    <t>3. A 'collections + activation' sweep on the paid-but-dormant accounts above (CRO + Onboarding).</t>
  </si>
  <si>
    <t>4. De-clutter: delete test/duplicate deals (dummy, 4 'Post Sales' copies, IRA 'Copy') so reporting is real.</t>
  </si>
  <si>
    <t>Owner Scorecard - gaps for the Onboarding Head</t>
  </si>
  <si>
    <t>Counts per owner across the key risk flags. Use for owner 1:1s.</t>
  </si>
  <si>
    <t>Owner</t>
  </si>
  <si>
    <t>Open deals</t>
  </si>
  <si>
    <t>A-grade</t>
  </si>
  <si>
    <t>Idle 5+ d</t>
  </si>
  <si>
    <t>No notes</t>
  </si>
  <si>
    <t>Go-live overdue</t>
  </si>
  <si>
    <t>Not signed up</t>
  </si>
  <si>
    <t>No next task</t>
  </si>
  <si>
    <t>Overdue task</t>
  </si>
  <si>
    <t>Key gap to address</t>
  </si>
  <si>
    <t>18 deal(s). no notes: SKYTOWN Group; pending-on-customer: i5 Housing and Properties LLP, GGC AI Calling, Kohinoor AI Calling.</t>
  </si>
  <si>
    <t>13 deal(s). no notes: Sunrise Housing (GHP Group); pending-on-customer: Ribitto Private Limited, Gram Strategic Advisors LLP.</t>
  </si>
  <si>
    <t>12 deal(s). no notes: Aryma Infra (OPC)Pvt Ltd.</t>
  </si>
  <si>
    <t>10 deal(s). pending-on-customer: Calicut Landmark Builders Pvt. Ltd.</t>
  </si>
  <si>
    <t>6 deal(s). no notes: test deal Push to OB 63 Copy, test deal Push to OB 63 Copy, test deal Push to OB 63 Copy; pending-on-customer: Times Group.</t>
  </si>
  <si>
    <t>3 deal(s). pending-on-customer: Shree Honda.</t>
  </si>
  <si>
    <t>2 deal(s). pending-on-customer: Upcurve consumer Technologies Pvt Ltd, Voora Developers.</t>
  </si>
  <si>
    <t>TOTAL</t>
  </si>
  <si>
    <t>Deal-Level Tracker - for the Onboarding Head to action</t>
  </si>
  <si>
    <t>Cols E-F = movement vs the LAST run: Progressed / NEW / STUCK (same blocker or no activity). Stuck deals are grouped at the top. SUPER-RED = no genuine movement for 2+ consecutive runs.</t>
  </si>
  <si>
    <t>Deal ID</t>
  </si>
  <si>
    <t>Deal Name</t>
  </si>
  <si>
    <t>Stage</t>
  </si>
  <si>
    <t>Moved? (vs last run)</t>
  </si>
  <si>
    <t>Movement detail (prev -&gt; now)</t>
  </si>
  <si>
    <t>Last activity</t>
  </si>
  <si>
    <t>Last note date</t>
  </si>
  <si>
    <t>Days since note</t>
  </si>
  <si>
    <t>Has notes</t>
  </si>
  <si>
    <t>Billed (Rs)</t>
  </si>
  <si>
    <t>Licenses</t>
  </si>
  <si>
    <t>Cat</t>
  </si>
  <si>
    <t>Last note / status</t>
  </si>
  <si>
    <t>Age (created)</t>
  </si>
  <si>
    <t>Key Next Step (recommended)</t>
  </si>
  <si>
    <t>Touch cadence (interim, vs 5d)</t>
  </si>
  <si>
    <t>Last meeting</t>
  </si>
  <si>
    <t>Next meeting</t>
  </si>
  <si>
    <t>Mtg &lt;=5d?</t>
  </si>
  <si>
    <t>Ashtavinayak Construction</t>
  </si>
  <si>
    <t>SUPER-RED (3 runs stuck)</t>
  </si>
  <si>
    <t>Stage Onboarding In Progress -&gt; Onboarding In Progress | Note 2026-06-18 -&gt; 2026-06-18 | No new note/stage change since 2026-06-18. [stuck x3]</t>
  </si>
  <si>
    <t>5-7 d</t>
  </si>
  <si>
    <t>18-Jun-26</t>
  </si>
  <si>
    <t>Yes</t>
  </si>
  <si>
    <t>B</t>
  </si>
  <si>
    <t>Completed login/project/report/routing/bulk lead/FB/dialer/GPS/clock/sales training; pending website.</t>
  </si>
  <si>
    <t>30-60 d</t>
  </si>
  <si>
    <t>Past target go-live - re-baseline date; Complete pending setup items and progress toward handover.</t>
  </si>
  <si>
    <t>11-15d</t>
  </si>
  <si>
    <t>None logged</t>
  </si>
  <si>
    <t>No - none logged</t>
  </si>
  <si>
    <t>Gram Strategic Advisors LLP</t>
  </si>
  <si>
    <t>Stage Pending on Customer -&gt; Pending on Customer | Note 2026-05-25 -&gt; 2026-05-25 | No new note/stage change since 2026-05-25. [stuck x3]</t>
  </si>
  <si>
    <t>25-May-26</t>
  </si>
  <si>
    <t>Completed login/project/report/routing/sales training/website/Mcube IVR. (Broker.)</t>
  </si>
  <si>
    <t>60-90 d</t>
  </si>
  <si>
    <t>Complete pending setup items and progress toward handover.</t>
  </si>
  <si>
    <t>Risk (31+d)</t>
  </si>
  <si>
    <t>Ribitto Private Limited</t>
  </si>
  <si>
    <t>Stage Pending on Customer -&gt; Pending on Customer | Note 2026-06-22 -&gt; 2026-06-22 | No new note/stage change since 2026-06-22. [stuck x3]</t>
  </si>
  <si>
    <t>22-Jun-26</t>
  </si>
  <si>
    <t>C</t>
  </si>
  <si>
    <t>Completed login/project/report/routing/WATI/dialer/GPS/clock/admin training; pending bulk lead, FB.</t>
  </si>
  <si>
    <t>Past target go-live - re-baseline date; Get the one pending input from customer (data/slot/feedback), then close remaining setup.</t>
  </si>
  <si>
    <t>6-10d</t>
  </si>
  <si>
    <t>Shri Krish Housing and Properties Pvt Ltd</t>
  </si>
  <si>
    <t>Stage Open -&gt; Open | Note 2026-06-22 -&gt; 2026-06-22 | No new note/stage change since 2026-06-22. [stuck x3]</t>
  </si>
  <si>
    <t>Kickoff Call pending from client side; highlighted to Sales POC.</t>
  </si>
  <si>
    <t>14-30 d</t>
  </si>
  <si>
    <t>Chase kickoff slot; escalate to customer exec if no response in 5 days.</t>
  </si>
  <si>
    <t>Upcurve consumer Technologies Pvt Ltd</t>
  </si>
  <si>
    <t>Stage Pending on Customer -&gt; Pending on Customer | Note 2026-02-22 -&gt; 2026-02-22 | No new note/stage change since 2026-02-22. [stuck x3]</t>
  </si>
  <si>
    <t>22-Feb-26</t>
  </si>
  <si>
    <t>Broker</t>
  </si>
  <si>
    <t>Completed login/project/pipeline stages; in progress bulk lead; pending report/Meta/website/Google/Acefone IVR/Wisr WhatsApp.</t>
  </si>
  <si>
    <t>90-180 d</t>
  </si>
  <si>
    <t>Shree Honda</t>
  </si>
  <si>
    <t>Stage Pending on Customer -&gt; Pending on Customer | Note 2025-12-08 -&gt; 2025-12-08 | No new note/stage change since 2025-12-08. [stuck x3]</t>
  </si>
  <si>
    <t>08-Dec-25</t>
  </si>
  <si>
    <t>Still awaiting details from client to start account setup. (Customization deployed; awaiting account details.)</t>
  </si>
  <si>
    <t>&gt;180 d</t>
  </si>
  <si>
    <t>Re-confirm the customer blocker; set a drop-dead date or move to 'On Hold'. (re-grade to B)</t>
  </si>
  <si>
    <t>Voora Developers</t>
  </si>
  <si>
    <t>Stage Pending on Customer -&gt; Pending on Customer | Note 2026-02-23 -&gt; 2026-02-23 | No new note/stage change since 2026-02-23. [stuck x3]</t>
  </si>
  <si>
    <t>&lt;=5 d</t>
  </si>
  <si>
    <t>23-Feb-26</t>
  </si>
  <si>
    <t>A</t>
  </si>
  <si>
    <t>PFB requirement sheet; Internal Handover scheduled tomorrow.</t>
  </si>
  <si>
    <t>SPR Construction Pvt Ltd</t>
  </si>
  <si>
    <t>Stage Onboarding In Progress -&gt; Onboarding In Progress | Note 2026-06-22 -&gt; 2026-06-26 | Internal weekly note only; pending pointers unchanged. [stuck x3]</t>
  </si>
  <si>
    <t>26-Jun-26</t>
  </si>
  <si>
    <t>OB Weekly Update (26 Jun): Sanket to talk to client about pending pointers. (Earlier: timesheet only.)</t>
  </si>
  <si>
    <t>OK (&lt;=5d)</t>
  </si>
  <si>
    <t>Yula Globas</t>
  </si>
  <si>
    <t>Stage Onboarding In Progress -&gt; Onboarding In Progress | Note 2026-06-16 -&gt; 2026-06-16 | No new note/stage change since 2026-06-16. [stuck x3]</t>
  </si>
  <si>
    <t>16-Jun-26</t>
  </si>
  <si>
    <t>Completed login/project/report/FB/WhatsApp; pending routing, portals (emails initiated), website, Mcube.</t>
  </si>
  <si>
    <t>Times Group</t>
  </si>
  <si>
    <t>Stage Pending on Customer -&gt; Pending on Customer | Note 2025-11-10 -&gt; 2025-11-10 | No new note/stage change since 2025-11-10. [stuck x3]</t>
  </si>
  <si>
    <t>10-Nov-25</t>
  </si>
  <si>
    <t>UAT of inventory still in progress; multiple fields updated per client suggestions. FM-app field list shared.</t>
  </si>
  <si>
    <t>Calicut Landmark Builders Pvt. Ltd</t>
  </si>
  <si>
    <t>Stage Pending on Customer -&gt; Pending on Customer | Note 2026-06-22 -&gt; 2026-06-26 | Internal weekly note (wrong plan shared); customer status unchanged. [stuck x3]</t>
  </si>
  <si>
    <t>OB Weekly Update (26 Jun): wrong project plan shared; Sanket to share updated plan &amp; check status; don't pitch sub-domain. (Earlier: timesheet only.)</t>
  </si>
  <si>
    <t>NPS DEVELOPERS</t>
  </si>
  <si>
    <t>Stage Onboarding In Progress -&gt; Onboarding In Progress | Note 2026-06-22 -&gt; 2026-06-22 | No new note/stage change since 2026-06-22. [stuck x3]</t>
  </si>
  <si>
    <t>Task-status table: login/project/report/routing done; WhatsApp in progress (NPS call); telecaller users awaiting client details.</t>
  </si>
  <si>
    <t>Past target go-live - re-baseline date; Complete pending setup items and progress toward handover. (re-grade to B)</t>
  </si>
  <si>
    <t>Dhanraj Realbuild Llp</t>
  </si>
  <si>
    <t>Stage Onboarding In Progress -&gt; Onboarding In Progress | Note 2026-06-02 -&gt; 2026-06-02 | No new note/stage change since 2026-06-02. [stuck x3]</t>
  </si>
  <si>
    <t>02-Jun-26</t>
  </si>
  <si>
    <t>Sourcing training done (customer feedback pending); AI Calling in progress (unpaid); WhatsApp blocked on Meta verification.</t>
  </si>
  <si>
    <t>Past target go-live - re-baseline date; Get the one pending input from customer (data/slot/feedback), then close remaining setup. (re-grade to A)</t>
  </si>
  <si>
    <t>16-30d</t>
  </si>
  <si>
    <t>GRUHAM SPACES LLP</t>
  </si>
  <si>
    <t>Stage Onboarding In Progress -&gt; Onboarding In Progress | Note 2026-05-19 -&gt; 2026-05-19 | No new note/stage change since 2026-05-19. [stuck x3]</t>
  </si>
  <si>
    <t>19-May-26</t>
  </si>
  <si>
    <t>Completed login/project/report/routing/CP upload/sales training/dialer/GRE form; mostly done.</t>
  </si>
  <si>
    <t>Kohinoor AI Calling</t>
  </si>
  <si>
    <t>Stage Pending on Customer -&gt; Pending on Customer | Note 2026-06-01 -&gt; 2026-06-01 | No new note/stage change since 2026-06-01. [stuck x3]</t>
  </si>
  <si>
    <t>01-Jun-26</t>
  </si>
  <si>
    <t>BOT shared for testing. (AI Calling.)</t>
  </si>
  <si>
    <t>Mythri Builder AI Calling</t>
  </si>
  <si>
    <t>Number details shared to Sanket; once added, will check with Sharayu. (AI Calling/Mcube.)</t>
  </si>
  <si>
    <t>i5 Housing and Properties LLP</t>
  </si>
  <si>
    <t>Stage Pending on Customer -&gt; Pending on Customer | Note 2026-06-22 -&gt; 2026-06-26 | Still awaiting vendor for portal+IVR; weekly note is internal only. [stuck x3]</t>
  </si>
  <si>
    <t>OB Weekly Update (26 Jun): post progress to Prabhu. Pending property portal &amp; IVR integration (awaiting vendor); awaiting lead import &amp; inventory files.</t>
  </si>
  <si>
    <t>Force sign-up/activation - paid but 'Yet to sign up'; escalate to customer exec.</t>
  </si>
  <si>
    <t>Sangram Group</t>
  </si>
  <si>
    <t>SUPER-RED (2 runs stuck)</t>
  </si>
  <si>
    <t>Stage Onboarding In Progress -&gt; Onboarding In Progress | Note 2026-06-22 -&gt; 2026-06-22 | No new note/stage change since 2026-06-22. [stuck x2]</t>
  </si>
  <si>
    <t>Completed login/project/report/routing/Mcube IVR; pending bulk lead import.</t>
  </si>
  <si>
    <t>Get the one pending input from customer (data/slot/feedback), then close remaining setup.</t>
  </si>
  <si>
    <t>New Keys Real Estate</t>
  </si>
  <si>
    <t>Stage Onboarding In Progress -&gt; Onboarding In Progress | Note 2026-06-19 -&gt; 2026-06-19 | No new note/stage change since 2026-06-19. [stuck x2]</t>
  </si>
  <si>
    <t>19-Jun-26</t>
  </si>
  <si>
    <t>Client was on hold; received lead file 18 Jun, will upload &amp; expedite; pending lead import, clock, website.</t>
  </si>
  <si>
    <t>New onboarding deal - log kickoff note + set next task.</t>
  </si>
  <si>
    <t>Dreams true realty</t>
  </si>
  <si>
    <t>Stage Onboarding In Progress -&gt; Onboarding In Progress | Note 2026-06-21 -&gt; 2026-06-21 | No new note/stage change since 2026-06-21. [stuck x2]</t>
  </si>
  <si>
    <t>21-Jun-26</t>
  </si>
  <si>
    <t>Completed project/report/login; pending routing, bulk lead (awaiting file), Meta (emails initiated), dialer.</t>
  </si>
  <si>
    <t>Customer keeps rescheduling - lock one firm slot or pause the account.</t>
  </si>
  <si>
    <t>Kalim Premier Realty LLP</t>
  </si>
  <si>
    <t>Completed login/project/report/routing/bulk lead/Mcube(#19)/sales training; pending website, inventory. (Earlier: account on hold.)</t>
  </si>
  <si>
    <t>Mundra Housing Projects LLP</t>
  </si>
  <si>
    <t>Completed login/project/report/routing/bulk lead; pending inventory, dialer, sales training (23rd June).</t>
  </si>
  <si>
    <t>Pavani Infra</t>
  </si>
  <si>
    <t>Stage Onboarding In Progress -&gt; Onboarding In Progress | Note 2026-06-19 -&gt; 2026-06-29 | Same status restated; only a kick-off mention added. [stuck x2]</t>
  </si>
  <si>
    <t>29-Jun-26</t>
  </si>
  <si>
    <t>Completed login/project/lead import/Meta(#10)/report; kick-off call referenced.</t>
  </si>
  <si>
    <t>RUDRA REALTY</t>
  </si>
  <si>
    <t>Stage Onboarding In Progress -&gt; Onboarding In Progress | Note 2026-06-19 -&gt; 2026-06-29 | Note restates the same completed/pending list as 25-Jun. [stuck x2]</t>
  </si>
  <si>
    <t>Completed login/teams/report/lead import/Meta(#32)/99Acres; pending tasks restated.</t>
  </si>
  <si>
    <t>Rana Propmart</t>
  </si>
  <si>
    <t>Completed login/project/report; lead-import guidance; clock-in/out; inventory pending.</t>
  </si>
  <si>
    <t>&lt;14 d</t>
  </si>
  <si>
    <t>Log first status note and book kickoff; set a next task.</t>
  </si>
  <si>
    <t>Shri Swami Samarth Assosiates Builder &amp;Developers</t>
  </si>
  <si>
    <t>Stage Onboarding In Progress -&gt; Onboarding In Progress | Note 2026-06-19 -&gt; 2026-06-29 | Real Estate India API still the blocker; additions were guidance only. [stuck x2]</t>
  </si>
  <si>
    <t>Completed login/project/report/lead-upload guidance/Quick-Add unit; pending Real Estate India API.</t>
  </si>
  <si>
    <t>Dreamworks Realtors</t>
  </si>
  <si>
    <t>Stage Pending on Customer -&gt; Pending on Customer | Note 2026-06-19 -&gt; 2026-06-19 | No new note/stage change since 2026-06-19. [stuck x2]</t>
  </si>
  <si>
    <t>Completed most tasks incl Meta/portals/SV form/website/training/WhatsApp; pending bulk lead import.</t>
  </si>
  <si>
    <t>Re-confirm the customer blocker; set a drop-dead date or move to 'On Hold'.</t>
  </si>
  <si>
    <t>Sujay Global Homes</t>
  </si>
  <si>
    <t>OB tasks update: bulk lead done; pending source list, CP upload, inventory.</t>
  </si>
  <si>
    <t>Past target go-live - re-baseline date; Get the one pending input from customer (data/slot/feedback), then close remaining setup. (re-grade to B)</t>
  </si>
  <si>
    <t>VAZHRAA NIRMAAN PRIVATE LIMITED</t>
  </si>
  <si>
    <t>Stage Onboarding In Progress -&gt; Onboarding In Progress | Note 2026-06-22 -&gt; 2026-06-26 | Still awaiting bulk-lead files from customer - same blocker. [stuck x2]</t>
  </si>
  <si>
    <t>Completed login/project/report/routing/99Acres; pending bulk lead (awaiting files). Prior: followed up, no response, may escalate to sales.</t>
  </si>
  <si>
    <t>Force sign-up/activation - paid but 'Yet to sign up'; escalate to customer exec. (re-grade to B)</t>
  </si>
  <si>
    <t>Blueroof India</t>
  </si>
  <si>
    <t>STUCK - no activity</t>
  </si>
  <si>
    <t>Stage Onboarding In Progress -&gt; Onboarding In Progress | Note 2026-06-23 -&gt; 2026-06-23 | No new note/stage change since 2026-06-23. [stuck x1]</t>
  </si>
  <si>
    <t>23-Jun-26</t>
  </si>
  <si>
    <t>Priority OB tasks shared (login, bulk lead, Meta, website, dialer).</t>
  </si>
  <si>
    <t>Priority tasks shared — progress integrations.</t>
  </si>
  <si>
    <t>Phantom Advisory</t>
  </si>
  <si>
    <t>Stage Onboarding In Progress -&gt; Onboarding In Progress | Note 2026-06-22 -&gt; 2026-06-22 | No new note/stage change since 2026-06-22. [stuck x1]</t>
  </si>
  <si>
    <t>Completed login/project/report/routing; pending bulk lead (sample shared), native WhatsApp (Meta verify).</t>
  </si>
  <si>
    <t>Real Estate Square</t>
  </si>
  <si>
    <t>Completed login/project/report/routing/99Acres/Meta; pending bulk lead (sample shared).</t>
  </si>
  <si>
    <t>Shrimant Developers</t>
  </si>
  <si>
    <t>Completed login/project/report/routing/GPS/clock; pending website (initiated).</t>
  </si>
  <si>
    <t>Sohum Estate Agency (Smeer Chheda)</t>
  </si>
  <si>
    <t>Priority OB tasks shared (login, bulk lead, portals, Meta, dialer).</t>
  </si>
  <si>
    <t>Axon Developer</t>
  </si>
  <si>
    <t>Completed account/login/project, FB connected (needs pages), 1 lead file uploaded, sales training; pending routing/hierarchy.</t>
  </si>
  <si>
    <t>Kunwarji Realtors</t>
  </si>
  <si>
    <t>PFA the updated Project Plan (Kunvarji Realtors.xlsx).</t>
  </si>
  <si>
    <t>No record in weeks - owner to log status + set next task TODAY; likely escalate.</t>
  </si>
  <si>
    <t>Shree Automotive</t>
  </si>
  <si>
    <t>Stage Onboarding In Progress -&gt; Onboarding In Progress | Note 2025-12-08 -&gt; 2025-12-08 | No new note/stage change since 2025-12-08. [stuck x1]</t>
  </si>
  <si>
    <t>Miva Real Estate</t>
  </si>
  <si>
    <t>Completed login/project/report/routing/bulk lead/Meta/sales training; pending native WhatsApp (Meta not verified).</t>
  </si>
  <si>
    <t>Red Estate Destination Pvt Ltd</t>
  </si>
  <si>
    <t>Completed login/project/report/routing; pending 99Acres/MagicBricks (initiated), Meta, bulk lead, website.</t>
  </si>
  <si>
    <t>Sunrise Housing (GHP Group)</t>
  </si>
  <si>
    <t>Stage Open -&gt; Open | Note no note -&gt; no note | No new note/stage change since ?. [stuck x1]</t>
  </si>
  <si>
    <t>No</t>
  </si>
  <si>
    <t>New deal — kickoff + sign-up; no notes yet, log first status.</t>
  </si>
  <si>
    <t>Risk (never)</t>
  </si>
  <si>
    <t>Apex Construction</t>
  </si>
  <si>
    <t>Completed account activation/login/project/report/routing/FB; pending native WhatsApp (website not ready).</t>
  </si>
  <si>
    <t>Leonaara PVt LTD</t>
  </si>
  <si>
    <t>Stage Onboarding In Progress -&gt; Onboarding In Progress | Note 2026-06-25 -&gt; 2026-06-25 | No new note/stage change since 2026-06-25. [stuck x1]</t>
  </si>
  <si>
    <t>25-Jun-26</t>
  </si>
  <si>
    <t>Completed login/project/report/routing/FB; pending website, bulk lead, WhatsApp Interakt, Mcube IVR.</t>
  </si>
  <si>
    <t>SS Salesforce</t>
  </si>
  <si>
    <t>STUCK - same blocker</t>
  </si>
  <si>
    <t>Stage Onboarding In Progress -&gt; Onboarding In Progress | Note 2026-06-23 -&gt; 2026-06-29 | Only update is sales training rescheduled to Friday - no genuine movement. [stuck x1]</t>
  </si>
  <si>
    <t>Sales Training was rescheduled to Friday.</t>
  </si>
  <si>
    <t>VIVANTA GROUP</t>
  </si>
  <si>
    <t>Stage Onboarding In Progress -&gt; Onboarding In Progress | Note 2026-06-22 -&gt; 2026-06-29 | Note restates the same Meta/campaign blocker as 25-Jun. [stuck x1]</t>
  </si>
  <si>
    <t>Completed user activation/project/lead import/report; pending Meta integration (awaiting campaign).</t>
  </si>
  <si>
    <t>PRABHUKRUPA REALTIES PVT. LTD</t>
  </si>
  <si>
    <t>Stage Pending on Customer -&gt; Pending on Customer | Note 2026-04-27 -&gt; 2026-04-27 | No new note/stage change since 2026-04-27. [stuck x1]</t>
  </si>
  <si>
    <t>27-Apr-26</t>
  </si>
  <si>
    <t>Completed login(1 user)/project/report/routing/bulk lead/Meta; pending DLT setup.</t>
  </si>
  <si>
    <t>High-value (Rs5L) Pending-on-Customer; chase customer + Mcube telephony.</t>
  </si>
  <si>
    <t>VENDSPACEZ PRIVATE LIMITED</t>
  </si>
  <si>
    <t>Accounts activated; completed login/project/report/source/routing; pending bulk lead (awaiting sheet).</t>
  </si>
  <si>
    <t>YES PROPTECH PRIVATE LIMITED</t>
  </si>
  <si>
    <t>Automation for lead re-assignment done; property portal integration completed; sales training 23rd June.</t>
  </si>
  <si>
    <t>Aryma Infra (OPC)Pvt Ltd</t>
  </si>
  <si>
    <t>NEW this run</t>
  </si>
  <si>
    <t>New in pipeline this run.</t>
  </si>
  <si>
    <t>New deal - log first onboarding note / confirm kickoff.</t>
  </si>
  <si>
    <t>test deal Push to OB 63 Copy</t>
  </si>
  <si>
    <t>Push-to-OB</t>
  </si>
  <si>
    <t>test 3 (junk/test deal)</t>
  </si>
  <si>
    <t>Junk/test deal - remove from onboarding pipeline.</t>
  </si>
  <si>
    <t>Yashoda Infra Developer</t>
  </si>
  <si>
    <t>(none)</t>
  </si>
  <si>
    <t>Kick-off call scheduled 29th June 3pm.</t>
  </si>
  <si>
    <t>New deal; categorize the account and log first onboarding note.</t>
  </si>
  <si>
    <t>SKYTOWN Group</t>
  </si>
  <si>
    <t>SWARAJYA REALTORS PRIVATE LIMITED</t>
  </si>
  <si>
    <t>Priority OB tasks shared (login, project, Magic Bricks integration, etc.).</t>
  </si>
  <si>
    <t>The Bangalore Real Estate Co.</t>
  </si>
  <si>
    <t>Progressed</t>
  </si>
  <si>
    <t>Stage Kickoff Done -&gt; Onboarding In Progress | Note 2026-06-23 -&gt; 2026-06-23 | Stage Kickoff Done -&gt; Onboarding In Progress.</t>
  </si>
  <si>
    <t>Priority OB tasks shared (login, dialer, Magic Bricks, training).</t>
  </si>
  <si>
    <t>Kickoff done — move into onboarding, start priority tasks.</t>
  </si>
  <si>
    <t>Artha Life Spaces</t>
  </si>
  <si>
    <t>Stage Onboarding In Progress -&gt; Onboarding In Progress | Note no note -&gt; 2026-06-29 | First real note logged; came off hold, now awaiting inventory decision.</t>
  </si>
  <si>
    <t>Waiting for client response on inventory — whether to move ahead with or without it. (Earlier: on hold until SV form ready.)</t>
  </si>
  <si>
    <t>No notes despite 24d age; go-live already overdue — log status &amp; push.</t>
  </si>
  <si>
    <t>Strata Capital Holdings</t>
  </si>
  <si>
    <t>Stage Onboarding In Progress -&gt; Onboarding In Progress | Note 2026-06-19 -&gt; 2026-06-29 | Inventories now uploaded since last run.</t>
  </si>
  <si>
    <t>Completed login/project/report; lead-import guidance; inventories uploaded; pending clock-in/out, website (API shared).</t>
  </si>
  <si>
    <t>TORANDWAR DEVELOPERS</t>
  </si>
  <si>
    <t>Stage Open -&gt; Onboarding In Progress | Note 2026-06-23 -&gt; 2026-06-28 | Stage Open -&gt; Onboarding In Progress.</t>
  </si>
  <si>
    <t>28-Jun-26</t>
  </si>
  <si>
    <t>Completed login/project/report; lead-import guidance given; inventory Quick-Add pending.</t>
  </si>
  <si>
    <t>Kick-off call scheduled 24-Jun; run it and start setup.</t>
  </si>
  <si>
    <t>GARDEN OF EDEN PROPERTY DEVELOPERS PVT LTD</t>
  </si>
  <si>
    <t>Stage Onboarding In Progress -&gt; Onboarding In Progress | Note 2026-06-22 -&gt; 2026-06-29 | WhatsApp integration completed; now pending webhook - moved forward.</t>
  </si>
  <si>
    <t>Completed login/project/report/routing/Meta/Mcube/WhatsApp; pending webhook integration.</t>
  </si>
  <si>
    <t>GGC AI Calling</t>
  </si>
  <si>
    <t>Stage Onboarding In Progress -&gt; Pending on Customer | Note 2026-06-19 -&gt; 2026-06-26 | Moved toward handover/feedback stage with Siddharth.</t>
  </si>
  <si>
    <t>OB Weekly Update (26 Jun): update contacts/tasks; follow up Vinay daily; get client feedback then discuss handover with Siddharth.</t>
  </si>
  <si>
    <t>Navkar Realty</t>
  </si>
  <si>
    <t>Stage Onboarding In Progress -&gt; Onboarding In Progress | Note 2026-06-22 -&gt; 2026-06-29 | Meta integration now active; callback API payload being built - new substance.</t>
  </si>
  <si>
    <t>Following up to confirm availability for Meta integration; callback API payload in progress (EOD).</t>
  </si>
  <si>
    <t>Raghava Elite Park</t>
  </si>
  <si>
    <t>Stage Onboarding In Progress -&gt; Under Usage Tracking | Note 2026-06-19 -&gt; 2026-06-19 | Stage Onboarding In Progress -&gt; Under Usage Tracking.</t>
  </si>
  <si>
    <t>Completed login/project/report/routing/WhatsApp/inventory; AI Calling setup done (awaiting feedback); pending GRE walk-in form.</t>
  </si>
  <si>
    <t>Force sign-up/activation - paid but 'Yet to sign up'; escalate to customer exec. (re-grade to A)</t>
  </si>
  <si>
    <t>Vascon Engineers</t>
  </si>
  <si>
    <t>Stage Onboarding In Progress -&gt; Under Usage Tracking | Note 2026-05-18 -&gt; 2026-05-18 | Stage Onboarding In Progress -&gt; Under Usage Tracking.</t>
  </si>
  <si>
    <t>18-May-26</t>
  </si>
  <si>
    <t>Onboarding tasks update: completed login/project/report/source/routing/Meta; pending bulk lead, CP, inventory.</t>
  </si>
  <si>
    <t>Large deals, Stuck deals &amp; Deals needing attention - for everyone</t>
  </si>
  <si>
    <t>A) LARGE DEALS (value / licenses) - protect these</t>
  </si>
  <si>
    <t>Deal</t>
  </si>
  <si>
    <t>Status / note</t>
  </si>
  <si>
    <t>B) STUCK DEALS (30+ days idle, or notes say 'no movement / on hold / call rescheduled')</t>
  </si>
  <si>
    <t>Last note</t>
  </si>
  <si>
    <t>Idle</t>
  </si>
  <si>
    <t>C) NEEDS ATTENTION (paid but 'Yet to sign up', or large + go-live breached)</t>
  </si>
  <si>
    <t>Signed up?</t>
  </si>
  <si>
    <t>Yet to sign up</t>
  </si>
  <si>
    <t>-</t>
  </si>
  <si>
    <t>'Pending on Customer' validation - is it really moving?</t>
  </si>
  <si>
    <t>12 deals sit in this stage. Verdict from last 2-3 notes + activity.</t>
  </si>
  <si>
    <t>Days since</t>
  </si>
  <si>
    <t>Verdict</t>
  </si>
  <si>
    <t>Clear next action</t>
  </si>
  <si>
    <t>STUCK</t>
  </si>
  <si>
    <t>Awaiting vendor for portal+IVR &amp; client files since mid-Jun; weekly note is internal only. Escalate, set drop-dead date.</t>
  </si>
  <si>
    <t>No genuine note movement in 3 runs; pending bulk lead + FB from customer. Escalate / chase lead file.</t>
  </si>
  <si>
    <t>Wrong project plan shared; Sanket to re-share &amp; confirm. No real customer movement in 3 runs.</t>
  </si>
  <si>
    <t>BOT shared for testing; awaiting Mcube number from customer since ~May. Chase; set test date.</t>
  </si>
  <si>
    <t>Last real note Feb-26; many integrations pending. Re-open kickoff or escalate.</t>
  </si>
  <si>
    <t>Handover scheduled in Feb never happened. Escalate; re-open.</t>
  </si>
  <si>
    <t>Awaiting client details since Dec to start setup. Final call or move to HOLD.</t>
  </si>
  <si>
    <t>Inventory UAT dragging since Nov. Escalate to close UAT and sign off.</t>
  </si>
  <si>
    <t>Customer-blocked</t>
  </si>
  <si>
    <t>Pending DLT setup; awaiting customer. Re-confirm and set a date.</t>
  </si>
  <si>
    <t>Moving slowly</t>
  </si>
  <si>
    <t>Approaching handover; awaiting client feedback. Get feedback then handover with Siddharth.</t>
  </si>
  <si>
    <t>Near done</t>
  </si>
  <si>
    <t>Almost all tasks complete; only bulk lead import pending. Close out &amp; handover.</t>
  </si>
  <si>
    <t>Most complete (Broker). Schedule final handover this week.</t>
  </si>
  <si>
    <t>Customer Category - usage &amp; priority check</t>
  </si>
  <si>
    <t>A/B/C/Broker should drive onboarding priority &amp; SLA. Today it is captured but not acted on.</t>
  </si>
  <si>
    <t>Distribution &amp; risk by category</t>
  </si>
  <si>
    <t>Deals</t>
  </si>
  <si>
    <t>% of pipe</t>
  </si>
  <si>
    <t>A (top priority)</t>
  </si>
  <si>
    <t>17%</t>
  </si>
  <si>
    <t>9%</t>
  </si>
  <si>
    <t>48%</t>
  </si>
  <si>
    <t>Uncategorized</t>
  </si>
  <si>
    <t>2%</t>
  </si>
  <si>
    <t>What this tells us</t>
  </si>
  <si>
    <t>- A-grade = your most important accounts, yet 2 of 15 have had NO activity in 5+ days and 1 have no notes at all. Priority is captured but the A's are actually the most neglected.</t>
  </si>
  <si>
    <t>- Category is not used to prioritise: A deals (Kunwarji 150 lic, Times, Dhanvanthari, Sandeep) sit stuck alongside C deals with the same (lack of) attention.</t>
  </si>
  <si>
    <t>- Category does not track value/size consistently: the single biggest deal, Raghava Elite Park (~Rs12.1L), is tagged B, not A; while several small C deals are routine. Re-grade against value+licenses.</t>
  </si>
  <si>
    <t>- 6 deals are Uncategorized (incl. Krishvi which is already Active, plus Pavani, Rana, Dreams True) - they fall through prioritisation entirely. 'dummy' is also uncategorized.</t>
  </si>
  <si>
    <t>- 52% of the pipeline (43) is tagged C. Either genuinely low-value, or default/lazy tagging - worth a quick audit so C actually means C.</t>
  </si>
  <si>
    <t>- Recommendation: tie an SLA to category - A = white-glove, named owner, weekly touch + exec visibility; B = fortnightly; C/Broker = templatised. Make category mandatory and value-aligned at deal creation.</t>
  </si>
  <si>
    <t>A-GRADE WATCHLIST (protect these 15 - sorted by neglect)</t>
  </si>
  <si>
    <t>Lic</t>
  </si>
  <si>
    <t>Category re-grade - value + licenses + brand/enterprise</t>
  </si>
  <si>
    <t>Suggested grade = max of value, licence count, and brand/enterprise weight. Under-grading is the concern; higher-than-needed is low priority.</t>
  </si>
  <si>
    <t>Summary: 8 under-graded (fix), 5 ungraded (set a grade), 0 clearly over-graded (low priority). ~8 A-deals score B on size alone (20-49 lic) - acceptable for enterprise/brand, not listed.</t>
  </si>
  <si>
    <t>A) UNDER-GRADED - high value/brand but graded low (FIX THESE)</t>
  </si>
  <si>
    <t>Current</t>
  </si>
  <si>
    <t>Suggested</t>
  </si>
  <si>
    <t>Billed</t>
  </si>
  <si>
    <t>Brand</t>
  </si>
  <si>
    <t>Why</t>
  </si>
  <si>
    <t>Rs5-7L</t>
  </si>
  <si>
    <t>&lt;10/blank</t>
  </si>
  <si>
    <t>billed Rs5-7L</t>
  </si>
  <si>
    <t>&gt;=Rs7L</t>
  </si>
  <si>
    <t>10-19</t>
  </si>
  <si>
    <t>Strong</t>
  </si>
  <si>
    <t>billed &gt;=Rs7L; strong brand</t>
  </si>
  <si>
    <t>Rs2-3L</t>
  </si>
  <si>
    <t>billed Rs2-3L</t>
  </si>
  <si>
    <t>blank/&lt;1L</t>
  </si>
  <si>
    <t>Known</t>
  </si>
  <si>
    <t>known brand</t>
  </si>
  <si>
    <t>Rs3-5L</t>
  </si>
  <si>
    <t>billed Rs3-5L</t>
  </si>
  <si>
    <t>Rs2.11L</t>
  </si>
  <si>
    <t>5</t>
  </si>
  <si>
    <t>billed Rs2.11L</t>
  </si>
  <si>
    <t>B) UNGRADED - no category set (assign one)</t>
  </si>
  <si>
    <t>Includes Krishvi (already Active) and the 'dummy' test record.</t>
  </si>
  <si>
    <t>(blank)</t>
  </si>
  <si>
    <t>50+</t>
  </si>
  <si>
    <t>uncategorized - new deal</t>
  </si>
  <si>
    <t>no value/licenses captured</t>
  </si>
  <si>
    <t>small ticket (blank/&lt;1L, 10-19 lic)</t>
  </si>
  <si>
    <t>C) Clearly over-graded - review (low priority)</t>
  </si>
  <si>
    <t>B Square is actually live - close it rather than re-grade.</t>
  </si>
  <si>
    <t>Comparison &amp; Movement vs previous run(s)</t>
  </si>
  <si>
    <t>Run 4 (Mon 29-Jun-2026) vs 25-Jun &amp; 22-Jun</t>
  </si>
  <si>
    <t>Stage prev-&gt;now</t>
  </si>
  <si>
    <t>Last note prev-&gt;now</t>
  </si>
  <si>
    <t>Movement verdict</t>
  </si>
  <si>
    <t>Stuck streak</t>
  </si>
  <si>
    <t>Reason / action</t>
  </si>
  <si>
    <t>Onboarding In Progress -&gt; Onboarding In Progress</t>
  </si>
  <si>
    <t>2026-06-18 -&gt; 2026-06-18</t>
  </si>
  <si>
    <t>No-touch</t>
  </si>
  <si>
    <t>No new note/stage change since 2026-06-18.</t>
  </si>
  <si>
    <t>Pending on Customer -&gt; Pending on Customer</t>
  </si>
  <si>
    <t>2026-06-22 -&gt; 2026-06-26</t>
  </si>
  <si>
    <t>Same-blocker</t>
  </si>
  <si>
    <t>Internal weekly note (wrong plan shared); customer status unchanged.</t>
  </si>
  <si>
    <t>2026-06-02 -&gt; 2026-06-02</t>
  </si>
  <si>
    <t>No new note/stage change since 2026-06-02.</t>
  </si>
  <si>
    <t>2026-05-19 -&gt; 2026-05-19</t>
  </si>
  <si>
    <t>No new note/stage change since 2026-05-19.</t>
  </si>
  <si>
    <t>2026-05-25 -&gt; 2026-05-25</t>
  </si>
  <si>
    <t>No new note/stage change since 2026-05-25.</t>
  </si>
  <si>
    <t>2026-06-01 -&gt; 2026-06-01</t>
  </si>
  <si>
    <t>No new note/stage change since 2026-06-01.</t>
  </si>
  <si>
    <t>2026-06-22 -&gt; 2026-06-22</t>
  </si>
  <si>
    <t>No new note/stage change since 2026-06-22.</t>
  </si>
  <si>
    <t>Internal weekly note only; pending pointers unchanged.</t>
  </si>
  <si>
    <t>2025-12-08 -&gt; 2025-12-08</t>
  </si>
  <si>
    <t>No new note/stage change since 2025-12-08.</t>
  </si>
  <si>
    <t>Open -&gt; Open</t>
  </si>
  <si>
    <t>2025-11-10 -&gt; 2025-11-10</t>
  </si>
  <si>
    <t>No new note/stage change since 2025-11-10.</t>
  </si>
  <si>
    <t>2026-02-22 -&gt; 2026-02-22</t>
  </si>
  <si>
    <t>No new note/stage change since 2026-02-22.</t>
  </si>
  <si>
    <t>2026-02-23 -&gt; 2026-02-23</t>
  </si>
  <si>
    <t>No new note/stage change since 2026-02-23.</t>
  </si>
  <si>
    <t>2026-06-16 -&gt; 2026-06-16</t>
  </si>
  <si>
    <t>No new note/stage change since 2026-06-16.</t>
  </si>
  <si>
    <t>Still awaiting vendor for portal+IVR; weekly note is internal only.</t>
  </si>
  <si>
    <t>2026-06-21 -&gt; 2026-06-21</t>
  </si>
  <si>
    <t>No new note/stage change since 2026-06-21.</t>
  </si>
  <si>
    <t>2026-06-19 -&gt; 2026-06-19</t>
  </si>
  <si>
    <t>No new note/stage change since 2026-06-19.</t>
  </si>
  <si>
    <t>2026-06-19 -&gt; 2026-06-29</t>
  </si>
  <si>
    <t>Same status restated; only a kick-off mention added.</t>
  </si>
  <si>
    <t>Note restates the same completed/pending list as 25-Jun.</t>
  </si>
  <si>
    <t>Real Estate India API still the blocker; additions were guidance only.</t>
  </si>
  <si>
    <t>Still awaiting bulk-lead files from customer - same blocker.</t>
  </si>
  <si>
    <t>2026-06-23 -&gt; 2026-06-23</t>
  </si>
  <si>
    <t>No new note/stage change since 2026-06-23.</t>
  </si>
  <si>
    <t>2026-06-25 -&gt; 2026-06-25</t>
  </si>
  <si>
    <t>No new note/stage change since 2026-06-25.</t>
  </si>
  <si>
    <t>2026-04-27 -&gt; 2026-04-27</t>
  </si>
  <si>
    <t>No new note/stage change since 2026-04-27.</t>
  </si>
  <si>
    <t>2026-06-23 -&gt; 2026-06-29</t>
  </si>
  <si>
    <t>Only update is sales training rescheduled to Friday - no genuine movement.</t>
  </si>
  <si>
    <t>- -&gt; -</t>
  </si>
  <si>
    <t>No new note/stage change since ?.</t>
  </si>
  <si>
    <t>2026-06-22 -&gt; 2026-06-29</t>
  </si>
  <si>
    <t>Note restates the same Meta/campaign blocker as 25-Jun.</t>
  </si>
  <si>
    <t>- -&gt; 2026-06-29</t>
  </si>
  <si>
    <t>First real note logged; came off hold, now awaiting inventory decision.</t>
  </si>
  <si>
    <t>NEW</t>
  </si>
  <si>
    <t>WhatsApp integration completed; now pending webhook - moved forward.</t>
  </si>
  <si>
    <t>Onboarding In Progress -&gt; Pending on Customer</t>
  </si>
  <si>
    <t>2026-06-19 -&gt; 2026-06-26</t>
  </si>
  <si>
    <t>Moved toward handover/feedback stage with Siddharth.</t>
  </si>
  <si>
    <t>Meta integration now active; callback API payload being built - new substance.</t>
  </si>
  <si>
    <t>Onboarding In Progress -&gt; Under Usage Tracking</t>
  </si>
  <si>
    <t>Stage Onboarding In Progress -&gt; Under Usage Tracking.</t>
  </si>
  <si>
    <t>- -&gt; 2026-06-26</t>
  </si>
  <si>
    <t>Inventories now uploaded since last run.</t>
  </si>
  <si>
    <t>Open -&gt; Onboarding In Progress</t>
  </si>
  <si>
    <t>2026-06-23 -&gt; 2026-06-28</t>
  </si>
  <si>
    <t>Stage Open -&gt; Onboarding In Progress.</t>
  </si>
  <si>
    <t>Kickoff Done -&gt; Onboarding In Progress</t>
  </si>
  <si>
    <t>Stage Kickoff Done -&gt; Onboarding In Progress.</t>
  </si>
  <si>
    <t>2026-05-18 -&gt; 2026-05-18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</si>
</sst>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5"/>
      <color rgb="FF1F3864"/>
      <name val="Calibri"/>
      <family val="2"/>
    </font>
    <font>
      <i/>
      <sz val="9"/>
      <color rgb="FF666666"/>
      <name val="Calibri"/>
      <family val="2"/>
    </font>
    <font>
      <b/>
      <sz val="11"/>
      <color rgb="FF1F3864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7" fillId="3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/>
    <xf numFmtId="0" fontId="4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0" borderId="0" xfId="0" applyFont="1"/>
    <xf numFmtId="0" fontId="5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zoomScaleNormal="100" workbookViewId="0"/>
  </sheetViews>
  <sheetFormatPr baseColWidth="10" defaultColWidth="8.6640625" defaultRowHeight="15" x14ac:dyDescent="0.2"/>
  <cols>
    <col min="1" max="1" width="42" customWidth="1"/>
    <col min="2" max="2" width="12" customWidth="1"/>
  </cols>
  <sheetData>
    <row r="1" spans="1:2" ht="20" x14ac:dyDescent="0.25">
      <c r="A1" s="4" t="s">
        <v>0</v>
      </c>
    </row>
    <row r="2" spans="1:2" x14ac:dyDescent="0.2">
      <c r="A2" s="5" t="s">
        <v>1</v>
      </c>
    </row>
    <row r="3" spans="1:2" x14ac:dyDescent="0.2">
      <c r="A3" s="5" t="s">
        <v>2</v>
      </c>
    </row>
    <row r="4" spans="1:2" x14ac:dyDescent="0.2">
      <c r="A4" s="6" t="s">
        <v>3</v>
      </c>
    </row>
    <row r="5" spans="1:2" x14ac:dyDescent="0.2">
      <c r="A5" s="7" t="s">
        <v>4</v>
      </c>
      <c r="B5" s="7" t="s">
        <v>5</v>
      </c>
    </row>
    <row r="6" spans="1:2" x14ac:dyDescent="0.2">
      <c r="A6" s="8" t="s">
        <v>6</v>
      </c>
      <c r="B6" s="8">
        <v>18</v>
      </c>
    </row>
    <row r="7" spans="1:2" x14ac:dyDescent="0.2">
      <c r="A7" s="8" t="s">
        <v>7</v>
      </c>
      <c r="B7" s="8">
        <v>13</v>
      </c>
    </row>
    <row r="8" spans="1:2" x14ac:dyDescent="0.2">
      <c r="A8" s="8" t="s">
        <v>8</v>
      </c>
      <c r="B8" s="8">
        <v>12</v>
      </c>
    </row>
    <row r="9" spans="1:2" x14ac:dyDescent="0.2">
      <c r="A9" s="8" t="s">
        <v>9</v>
      </c>
      <c r="B9" s="8">
        <v>10</v>
      </c>
    </row>
    <row r="10" spans="1:2" x14ac:dyDescent="0.2">
      <c r="A10" s="8" t="s">
        <v>10</v>
      </c>
      <c r="B10" s="8">
        <v>6</v>
      </c>
    </row>
    <row r="11" spans="1:2" x14ac:dyDescent="0.2">
      <c r="A11" s="8" t="s">
        <v>11</v>
      </c>
      <c r="B11" s="8">
        <v>3</v>
      </c>
    </row>
    <row r="12" spans="1:2" x14ac:dyDescent="0.2">
      <c r="A12" s="8" t="s">
        <v>12</v>
      </c>
      <c r="B12" s="8">
        <v>2</v>
      </c>
    </row>
    <row r="13" spans="1:2" x14ac:dyDescent="0.2">
      <c r="A13" s="9" t="s">
        <v>13</v>
      </c>
      <c r="B13" s="9">
        <f>SUM(B6:B12)</f>
        <v>64</v>
      </c>
    </row>
    <row r="15" spans="1:2" x14ac:dyDescent="0.2">
      <c r="A15" s="6" t="s">
        <v>14</v>
      </c>
    </row>
    <row r="16" spans="1:2" x14ac:dyDescent="0.2">
      <c r="A16" s="7" t="s">
        <v>4</v>
      </c>
      <c r="B16" s="7" t="s">
        <v>5</v>
      </c>
    </row>
    <row r="17" spans="1:2" x14ac:dyDescent="0.2">
      <c r="A17" s="8" t="s">
        <v>15</v>
      </c>
      <c r="B17" s="8">
        <v>8</v>
      </c>
    </row>
    <row r="18" spans="1:2" x14ac:dyDescent="0.2">
      <c r="A18" s="8" t="s">
        <v>16</v>
      </c>
      <c r="B18" s="8">
        <v>0</v>
      </c>
    </row>
    <row r="19" spans="1:2" x14ac:dyDescent="0.2">
      <c r="A19" s="8" t="s">
        <v>17</v>
      </c>
      <c r="B19" s="8">
        <v>42</v>
      </c>
    </row>
    <row r="20" spans="1:2" x14ac:dyDescent="0.2">
      <c r="A20" s="8" t="s">
        <v>18</v>
      </c>
      <c r="B20" s="8">
        <v>12</v>
      </c>
    </row>
    <row r="21" spans="1:2" x14ac:dyDescent="0.2">
      <c r="A21" s="8" t="s">
        <v>19</v>
      </c>
      <c r="B21" s="8">
        <v>0</v>
      </c>
    </row>
    <row r="22" spans="1:2" x14ac:dyDescent="0.2">
      <c r="A22" s="9" t="s">
        <v>13</v>
      </c>
      <c r="B22" s="9">
        <f>SUM(B17:B21)</f>
        <v>62</v>
      </c>
    </row>
    <row r="24" spans="1:2" x14ac:dyDescent="0.2">
      <c r="A24" s="6" t="s">
        <v>20</v>
      </c>
    </row>
    <row r="25" spans="1:2" x14ac:dyDescent="0.2">
      <c r="A25" s="7" t="s">
        <v>4</v>
      </c>
      <c r="B25" s="7" t="s">
        <v>5</v>
      </c>
    </row>
    <row r="26" spans="1:2" x14ac:dyDescent="0.2">
      <c r="A26" s="8" t="s">
        <v>21</v>
      </c>
      <c r="B26" s="8">
        <v>20</v>
      </c>
    </row>
    <row r="27" spans="1:2" x14ac:dyDescent="0.2">
      <c r="A27" s="8" t="s">
        <v>22</v>
      </c>
      <c r="B27" s="8">
        <v>20</v>
      </c>
    </row>
    <row r="28" spans="1:2" x14ac:dyDescent="0.2">
      <c r="A28" s="8" t="s">
        <v>23</v>
      </c>
      <c r="B28" s="8">
        <v>11</v>
      </c>
    </row>
    <row r="29" spans="1:2" x14ac:dyDescent="0.2">
      <c r="A29" s="8" t="s">
        <v>24</v>
      </c>
      <c r="B29" s="8">
        <v>7</v>
      </c>
    </row>
    <row r="30" spans="1:2" x14ac:dyDescent="0.2">
      <c r="A30" s="8" t="s">
        <v>25</v>
      </c>
      <c r="B30" s="8">
        <v>3</v>
      </c>
    </row>
    <row r="31" spans="1:2" x14ac:dyDescent="0.2">
      <c r="A31" s="8" t="s">
        <v>26</v>
      </c>
      <c r="B31" s="8">
        <v>3</v>
      </c>
    </row>
    <row r="32" spans="1:2" x14ac:dyDescent="0.2">
      <c r="A32" s="9" t="s">
        <v>13</v>
      </c>
      <c r="B32" s="9">
        <f>SUM(B26:B31)</f>
        <v>64</v>
      </c>
    </row>
    <row r="34" spans="1:2" x14ac:dyDescent="0.2">
      <c r="A34" s="6" t="s">
        <v>27</v>
      </c>
    </row>
    <row r="35" spans="1:2" x14ac:dyDescent="0.2">
      <c r="A35" s="7" t="s">
        <v>4</v>
      </c>
      <c r="B35" s="7" t="s">
        <v>5</v>
      </c>
    </row>
    <row r="36" spans="1:2" x14ac:dyDescent="0.2">
      <c r="A36" s="8" t="s">
        <v>28</v>
      </c>
      <c r="B36" s="8">
        <v>47</v>
      </c>
    </row>
    <row r="37" spans="1:2" x14ac:dyDescent="0.2">
      <c r="A37" s="8" t="s">
        <v>29</v>
      </c>
      <c r="B37" s="8">
        <v>17</v>
      </c>
    </row>
    <row r="38" spans="1:2" x14ac:dyDescent="0.2">
      <c r="A38" s="8" t="s">
        <v>30</v>
      </c>
      <c r="B38" s="8">
        <v>0</v>
      </c>
    </row>
    <row r="39" spans="1:2" x14ac:dyDescent="0.2">
      <c r="A39" s="8" t="s">
        <v>31</v>
      </c>
      <c r="B39" s="8">
        <v>0</v>
      </c>
    </row>
    <row r="40" spans="1:2" x14ac:dyDescent="0.2">
      <c r="A40" s="8" t="s">
        <v>32</v>
      </c>
      <c r="B40" s="8">
        <v>0</v>
      </c>
    </row>
    <row r="41" spans="1:2" x14ac:dyDescent="0.2">
      <c r="A41" s="9" t="s">
        <v>13</v>
      </c>
      <c r="B41" s="9">
        <f>SUM(B36:B40)</f>
        <v>64</v>
      </c>
    </row>
    <row r="43" spans="1:2" x14ac:dyDescent="0.2">
      <c r="A43" s="6" t="s">
        <v>33</v>
      </c>
    </row>
    <row r="44" spans="1:2" x14ac:dyDescent="0.2">
      <c r="A44" s="7" t="s">
        <v>4</v>
      </c>
      <c r="B44" s="7" t="s">
        <v>5</v>
      </c>
    </row>
    <row r="45" spans="1:2" x14ac:dyDescent="0.2">
      <c r="A45" s="8" t="s">
        <v>34</v>
      </c>
      <c r="B45" s="8">
        <v>19</v>
      </c>
    </row>
    <row r="46" spans="1:2" x14ac:dyDescent="0.2">
      <c r="A46" s="8" t="s">
        <v>35</v>
      </c>
      <c r="B46" s="8">
        <v>25</v>
      </c>
    </row>
    <row r="47" spans="1:2" x14ac:dyDescent="0.2">
      <c r="A47" s="8" t="s">
        <v>36</v>
      </c>
      <c r="B47" s="8">
        <v>2</v>
      </c>
    </row>
    <row r="48" spans="1:2" x14ac:dyDescent="0.2">
      <c r="A48" s="8" t="s">
        <v>37</v>
      </c>
      <c r="B48" s="8">
        <v>3</v>
      </c>
    </row>
    <row r="49" spans="1:2" x14ac:dyDescent="0.2">
      <c r="A49" s="8" t="s">
        <v>38</v>
      </c>
      <c r="B49" s="8">
        <v>9</v>
      </c>
    </row>
    <row r="50" spans="1:2" x14ac:dyDescent="0.2">
      <c r="A50" s="8" t="s">
        <v>39</v>
      </c>
      <c r="B50" s="8">
        <v>6</v>
      </c>
    </row>
    <row r="51" spans="1:2" x14ac:dyDescent="0.2">
      <c r="A51" s="9" t="s">
        <v>13</v>
      </c>
      <c r="B51" s="9">
        <f>SUM(B45:B50)</f>
        <v>64</v>
      </c>
    </row>
    <row r="53" spans="1:2" x14ac:dyDescent="0.2">
      <c r="A53" s="6" t="s">
        <v>40</v>
      </c>
    </row>
    <row r="54" spans="1:2" x14ac:dyDescent="0.2">
      <c r="A54" s="7" t="s">
        <v>4</v>
      </c>
      <c r="B54" s="7" t="s">
        <v>5</v>
      </c>
    </row>
    <row r="55" spans="1:2" x14ac:dyDescent="0.2">
      <c r="A55" s="8" t="s">
        <v>41</v>
      </c>
      <c r="B55" s="8">
        <v>0</v>
      </c>
    </row>
    <row r="56" spans="1:2" x14ac:dyDescent="0.2">
      <c r="A56" s="8" t="s">
        <v>42</v>
      </c>
      <c r="B56" s="8">
        <v>0</v>
      </c>
    </row>
    <row r="57" spans="1:2" x14ac:dyDescent="0.2">
      <c r="A57" s="8" t="s">
        <v>43</v>
      </c>
      <c r="B57" s="8">
        <v>64</v>
      </c>
    </row>
    <row r="59" spans="1:2" x14ac:dyDescent="0.2">
      <c r="A59" s="6" t="s">
        <v>44</v>
      </c>
    </row>
    <row r="60" spans="1:2" x14ac:dyDescent="0.2">
      <c r="A60" s="7" t="s">
        <v>4</v>
      </c>
      <c r="B60" s="7" t="s">
        <v>5</v>
      </c>
    </row>
    <row r="61" spans="1:2" x14ac:dyDescent="0.2">
      <c r="A61" s="8" t="s">
        <v>45</v>
      </c>
      <c r="B61" s="8">
        <v>17</v>
      </c>
    </row>
    <row r="62" spans="1:2" x14ac:dyDescent="0.2">
      <c r="A62" s="8" t="s">
        <v>46</v>
      </c>
      <c r="B62" s="8">
        <v>6</v>
      </c>
    </row>
    <row r="63" spans="1:2" x14ac:dyDescent="0.2">
      <c r="A63" s="8" t="s">
        <v>47</v>
      </c>
      <c r="B63" s="8">
        <v>22</v>
      </c>
    </row>
    <row r="64" spans="1:2" x14ac:dyDescent="0.2">
      <c r="A64" s="8" t="s">
        <v>48</v>
      </c>
      <c r="B64" s="8">
        <v>8</v>
      </c>
    </row>
    <row r="65" spans="1:2" x14ac:dyDescent="0.2">
      <c r="A65" s="8" t="s">
        <v>49</v>
      </c>
      <c r="B65" s="8">
        <v>37</v>
      </c>
    </row>
    <row r="66" spans="1:2" x14ac:dyDescent="0.2">
      <c r="A66" s="8" t="s">
        <v>50</v>
      </c>
      <c r="B66" s="8">
        <v>14</v>
      </c>
    </row>
    <row r="67" spans="1:2" x14ac:dyDescent="0.2">
      <c r="A67" s="8" t="s">
        <v>51</v>
      </c>
      <c r="B67" s="8">
        <v>54</v>
      </c>
    </row>
    <row r="68" spans="1:2" x14ac:dyDescent="0.2">
      <c r="A68" s="8" t="s">
        <v>52</v>
      </c>
      <c r="B68" s="8">
        <v>0</v>
      </c>
    </row>
    <row r="69" spans="1:2" x14ac:dyDescent="0.2">
      <c r="A69" s="8" t="s">
        <v>53</v>
      </c>
      <c r="B69" s="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>
      <selection activeCell="A14" sqref="A14:B14"/>
    </sheetView>
  </sheetViews>
  <sheetFormatPr baseColWidth="10" defaultColWidth="8.6640625" defaultRowHeight="15" x14ac:dyDescent="0.2"/>
  <cols>
    <col min="1" max="1" width="70" customWidth="1"/>
    <col min="2" max="2" width="40" customWidth="1"/>
  </cols>
  <sheetData>
    <row r="1" spans="1:2" ht="20" x14ac:dyDescent="0.25">
      <c r="A1" s="4" t="s">
        <v>54</v>
      </c>
    </row>
    <row r="2" spans="1:2" x14ac:dyDescent="0.2">
      <c r="A2" s="5" t="s">
        <v>55</v>
      </c>
    </row>
    <row r="4" spans="1:2" x14ac:dyDescent="0.2">
      <c r="A4" s="3" t="s">
        <v>56</v>
      </c>
      <c r="B4" s="3"/>
    </row>
    <row r="5" spans="1:2" ht="30" customHeight="1" x14ac:dyDescent="0.2">
      <c r="A5" s="2" t="s">
        <v>57</v>
      </c>
      <c r="B5" s="2"/>
    </row>
    <row r="6" spans="1:2" ht="30" customHeight="1" x14ac:dyDescent="0.2">
      <c r="A6" s="2" t="s">
        <v>58</v>
      </c>
      <c r="B6" s="2"/>
    </row>
    <row r="8" spans="1:2" x14ac:dyDescent="0.2">
      <c r="A8" s="3" t="s">
        <v>59</v>
      </c>
      <c r="B8" s="3"/>
    </row>
    <row r="9" spans="1:2" ht="30" customHeight="1" x14ac:dyDescent="0.2">
      <c r="A9" s="2" t="s">
        <v>60</v>
      </c>
      <c r="B9" s="2"/>
    </row>
    <row r="10" spans="1:2" ht="30" customHeight="1" x14ac:dyDescent="0.2">
      <c r="A10" s="2" t="s">
        <v>61</v>
      </c>
      <c r="B10" s="2"/>
    </row>
    <row r="12" spans="1:2" x14ac:dyDescent="0.2">
      <c r="A12" s="3" t="s">
        <v>62</v>
      </c>
      <c r="B12" s="3"/>
    </row>
    <row r="13" spans="1:2" ht="30" customHeight="1" x14ac:dyDescent="0.2">
      <c r="A13" s="2" t="s">
        <v>63</v>
      </c>
      <c r="B13" s="2"/>
    </row>
    <row r="14" spans="1:2" ht="30" customHeight="1" x14ac:dyDescent="0.2">
      <c r="A14" s="2" t="s">
        <v>64</v>
      </c>
      <c r="B14" s="2"/>
    </row>
    <row r="15" spans="1:2" ht="30" customHeight="1" x14ac:dyDescent="0.2">
      <c r="A15" s="2" t="s">
        <v>65</v>
      </c>
      <c r="B15" s="2"/>
    </row>
    <row r="16" spans="1:2" ht="30" customHeight="1" x14ac:dyDescent="0.2">
      <c r="A16" s="2" t="s">
        <v>66</v>
      </c>
      <c r="B16" s="2"/>
    </row>
  </sheetData>
  <mergeCells count="11">
    <mergeCell ref="A16:B16"/>
    <mergeCell ref="A10:B10"/>
    <mergeCell ref="A12:B12"/>
    <mergeCell ref="A13:B13"/>
    <mergeCell ref="A14:B14"/>
    <mergeCell ref="A15:B15"/>
    <mergeCell ref="A4:B4"/>
    <mergeCell ref="A5:B5"/>
    <mergeCell ref="A6:B6"/>
    <mergeCell ref="A8:B8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zoomScaleNormal="100" workbookViewId="0">
      <pane ySplit="4" topLeftCell="A5" activePane="bottomLeft" state="frozen"/>
      <selection pane="bottomLeft" activeCell="I5" sqref="I5"/>
    </sheetView>
  </sheetViews>
  <sheetFormatPr baseColWidth="10" defaultColWidth="8.6640625" defaultRowHeight="15" x14ac:dyDescent="0.2"/>
  <cols>
    <col min="1" max="1" width="20" customWidth="1"/>
    <col min="2" max="2" width="10" customWidth="1"/>
    <col min="3" max="3" width="8" customWidth="1"/>
    <col min="4" max="5" width="9" customWidth="1"/>
    <col min="6" max="6" width="14" customWidth="1"/>
    <col min="7" max="7" width="13" customWidth="1"/>
    <col min="8" max="9" width="11" customWidth="1"/>
    <col min="10" max="10" width="60" customWidth="1"/>
  </cols>
  <sheetData>
    <row r="1" spans="1:10" ht="20" x14ac:dyDescent="0.25">
      <c r="A1" s="4" t="s">
        <v>67</v>
      </c>
    </row>
    <row r="2" spans="1:10" x14ac:dyDescent="0.2">
      <c r="A2" s="5" t="s">
        <v>68</v>
      </c>
    </row>
    <row r="4" spans="1:10" x14ac:dyDescent="0.2">
      <c r="A4" s="10" t="s">
        <v>69</v>
      </c>
      <c r="B4" s="10" t="s">
        <v>70</v>
      </c>
      <c r="C4" s="10" t="s">
        <v>71</v>
      </c>
      <c r="D4" s="10" t="s">
        <v>72</v>
      </c>
      <c r="E4" s="10" t="s">
        <v>73</v>
      </c>
      <c r="F4" s="10" t="s">
        <v>74</v>
      </c>
      <c r="G4" s="10" t="s">
        <v>75</v>
      </c>
      <c r="H4" s="10" t="s">
        <v>76</v>
      </c>
      <c r="I4" s="10" t="s">
        <v>77</v>
      </c>
      <c r="J4" s="10" t="s">
        <v>78</v>
      </c>
    </row>
    <row r="5" spans="1:10" x14ac:dyDescent="0.2">
      <c r="A5" s="11" t="s">
        <v>6</v>
      </c>
      <c r="B5" s="11">
        <v>18</v>
      </c>
      <c r="C5" s="11">
        <v>5</v>
      </c>
      <c r="D5" s="11">
        <v>0</v>
      </c>
      <c r="E5" s="11">
        <v>1</v>
      </c>
      <c r="F5" s="12">
        <v>7</v>
      </c>
      <c r="G5" s="11">
        <v>1</v>
      </c>
      <c r="H5" s="12">
        <v>7</v>
      </c>
      <c r="I5" s="13">
        <v>3</v>
      </c>
      <c r="J5" s="11" t="s">
        <v>79</v>
      </c>
    </row>
    <row r="6" spans="1:10" x14ac:dyDescent="0.2">
      <c r="A6" s="11" t="s">
        <v>7</v>
      </c>
      <c r="B6" s="11">
        <v>13</v>
      </c>
      <c r="C6" s="11">
        <v>0</v>
      </c>
      <c r="D6" s="12">
        <v>10</v>
      </c>
      <c r="E6" s="11">
        <v>1</v>
      </c>
      <c r="F6" s="11">
        <v>0</v>
      </c>
      <c r="G6" s="11">
        <v>1</v>
      </c>
      <c r="H6" s="12">
        <v>12</v>
      </c>
      <c r="I6" s="14">
        <v>1</v>
      </c>
      <c r="J6" s="11" t="s">
        <v>80</v>
      </c>
    </row>
    <row r="7" spans="1:10" x14ac:dyDescent="0.2">
      <c r="A7" s="11" t="s">
        <v>8</v>
      </c>
      <c r="B7" s="11">
        <v>12</v>
      </c>
      <c r="C7" s="11">
        <v>2</v>
      </c>
      <c r="D7" s="11">
        <v>2</v>
      </c>
      <c r="E7" s="11">
        <v>1</v>
      </c>
      <c r="F7" s="12">
        <v>8</v>
      </c>
      <c r="G7" s="11">
        <v>0</v>
      </c>
      <c r="H7" s="12">
        <v>5</v>
      </c>
      <c r="I7" s="13">
        <v>4</v>
      </c>
      <c r="J7" s="11" t="s">
        <v>81</v>
      </c>
    </row>
    <row r="8" spans="1:10" x14ac:dyDescent="0.2">
      <c r="A8" s="11" t="s">
        <v>9</v>
      </c>
      <c r="B8" s="11">
        <v>10</v>
      </c>
      <c r="C8" s="11">
        <v>1</v>
      </c>
      <c r="D8" s="11">
        <v>1</v>
      </c>
      <c r="E8" s="11">
        <v>0</v>
      </c>
      <c r="F8" s="11">
        <v>1</v>
      </c>
      <c r="G8" s="11">
        <v>2</v>
      </c>
      <c r="H8" s="12">
        <v>8</v>
      </c>
      <c r="I8" s="14">
        <v>0</v>
      </c>
      <c r="J8" s="11" t="s">
        <v>82</v>
      </c>
    </row>
    <row r="9" spans="1:10" x14ac:dyDescent="0.2">
      <c r="A9" s="11" t="s">
        <v>10</v>
      </c>
      <c r="B9" s="11">
        <v>6</v>
      </c>
      <c r="C9" s="11">
        <v>2</v>
      </c>
      <c r="D9" s="11">
        <v>1</v>
      </c>
      <c r="E9" s="15">
        <v>3</v>
      </c>
      <c r="F9" s="12">
        <v>5</v>
      </c>
      <c r="G9" s="15">
        <v>4</v>
      </c>
      <c r="H9" s="15">
        <v>4</v>
      </c>
      <c r="I9" s="14">
        <v>2</v>
      </c>
      <c r="J9" s="11" t="s">
        <v>83</v>
      </c>
    </row>
    <row r="10" spans="1:10" x14ac:dyDescent="0.2">
      <c r="A10" s="11" t="s">
        <v>11</v>
      </c>
      <c r="B10" s="11">
        <v>3</v>
      </c>
      <c r="C10" s="11">
        <v>0</v>
      </c>
      <c r="D10" s="11">
        <v>2</v>
      </c>
      <c r="E10" s="11">
        <v>0</v>
      </c>
      <c r="F10" s="11">
        <v>1</v>
      </c>
      <c r="G10" s="11">
        <v>0</v>
      </c>
      <c r="H10" s="11">
        <v>1</v>
      </c>
      <c r="I10" s="14">
        <v>2</v>
      </c>
      <c r="J10" s="11" t="s">
        <v>84</v>
      </c>
    </row>
    <row r="11" spans="1:10" x14ac:dyDescent="0.2">
      <c r="A11" s="11" t="s">
        <v>12</v>
      </c>
      <c r="B11" s="11">
        <v>2</v>
      </c>
      <c r="C11" s="11">
        <v>1</v>
      </c>
      <c r="D11" s="11">
        <v>1</v>
      </c>
      <c r="E11" s="11">
        <v>0</v>
      </c>
      <c r="F11" s="11">
        <v>0</v>
      </c>
      <c r="G11" s="11">
        <v>0</v>
      </c>
      <c r="H11" s="11">
        <v>0</v>
      </c>
      <c r="I11" s="14">
        <v>2</v>
      </c>
      <c r="J11" s="11" t="s">
        <v>85</v>
      </c>
    </row>
    <row r="12" spans="1:10" x14ac:dyDescent="0.2">
      <c r="A12" s="16" t="s">
        <v>86</v>
      </c>
      <c r="B12" s="16">
        <v>64</v>
      </c>
      <c r="C12" s="16">
        <v>11</v>
      </c>
      <c r="D12" s="16">
        <v>17</v>
      </c>
      <c r="E12" s="16">
        <v>6</v>
      </c>
      <c r="F12" s="16">
        <v>22</v>
      </c>
      <c r="G12" s="16">
        <v>8</v>
      </c>
      <c r="H12" s="16">
        <v>37</v>
      </c>
      <c r="I12" s="16">
        <v>14</v>
      </c>
      <c r="J12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7"/>
  <sheetViews>
    <sheetView showGridLines="0" zoomScaleNormal="100" workbookViewId="0">
      <pane ySplit="3" topLeftCell="A4" activePane="bottomLeft" state="frozen"/>
      <selection pane="bottomLeft" activeCell="E50" sqref="E4:E50"/>
    </sheetView>
  </sheetViews>
  <sheetFormatPr baseColWidth="10" defaultColWidth="8.6640625" defaultRowHeight="15" x14ac:dyDescent="0.2"/>
  <cols>
    <col min="1" max="1" width="10" customWidth="1"/>
    <col min="2" max="2" width="30" customWidth="1"/>
    <col min="3" max="3" width="18" customWidth="1"/>
    <col min="4" max="4" width="20" customWidth="1"/>
    <col min="5" max="5" width="22" customWidth="1"/>
    <col min="6" max="6" width="60" customWidth="1"/>
    <col min="7" max="7" width="11" customWidth="1"/>
    <col min="8" max="8" width="12" customWidth="1"/>
    <col min="9" max="9" width="9" customWidth="1"/>
    <col min="10" max="10" width="8" customWidth="1"/>
    <col min="11" max="11" width="13" customWidth="1"/>
    <col min="12" max="12" width="12" customWidth="1"/>
    <col min="13" max="13" width="11" customWidth="1"/>
    <col min="14" max="14" width="8" customWidth="1"/>
    <col min="15" max="15" width="5" customWidth="1"/>
    <col min="16" max="16" width="58" customWidth="1"/>
    <col min="17" max="17" width="12" customWidth="1"/>
    <col min="18" max="18" width="40" customWidth="1"/>
    <col min="19" max="19" width="15" customWidth="1"/>
    <col min="20" max="21" width="13" customWidth="1"/>
    <col min="22" max="22" width="16" customWidth="1"/>
  </cols>
  <sheetData>
    <row r="1" spans="1:22" ht="20" x14ac:dyDescent="0.25">
      <c r="A1" s="4" t="s">
        <v>87</v>
      </c>
    </row>
    <row r="2" spans="1:22" x14ac:dyDescent="0.2">
      <c r="A2" s="5" t="s">
        <v>88</v>
      </c>
    </row>
    <row r="3" spans="1:22" ht="30" x14ac:dyDescent="0.2">
      <c r="A3" s="10" t="s">
        <v>89</v>
      </c>
      <c r="B3" s="10" t="s">
        <v>90</v>
      </c>
      <c r="C3" s="10" t="s">
        <v>69</v>
      </c>
      <c r="D3" s="10" t="s">
        <v>91</v>
      </c>
      <c r="E3" s="10" t="s">
        <v>92</v>
      </c>
      <c r="F3" s="10" t="s">
        <v>93</v>
      </c>
      <c r="G3" s="10" t="s">
        <v>94</v>
      </c>
      <c r="H3" s="10" t="s">
        <v>95</v>
      </c>
      <c r="I3" s="10" t="s">
        <v>96</v>
      </c>
      <c r="J3" s="10" t="s">
        <v>97</v>
      </c>
      <c r="K3" s="10" t="s">
        <v>74</v>
      </c>
      <c r="L3" s="10" t="s">
        <v>75</v>
      </c>
      <c r="M3" s="10" t="s">
        <v>98</v>
      </c>
      <c r="N3" s="10" t="s">
        <v>99</v>
      </c>
      <c r="O3" s="10" t="s">
        <v>100</v>
      </c>
      <c r="P3" s="10" t="s">
        <v>101</v>
      </c>
      <c r="Q3" s="10" t="s">
        <v>102</v>
      </c>
      <c r="R3" s="10" t="s">
        <v>103</v>
      </c>
      <c r="S3" s="10" t="s">
        <v>104</v>
      </c>
      <c r="T3" s="10" t="s">
        <v>105</v>
      </c>
      <c r="U3" s="10" t="s">
        <v>106</v>
      </c>
      <c r="V3" s="10" t="s">
        <v>107</v>
      </c>
    </row>
    <row r="4" spans="1:22" ht="30" x14ac:dyDescent="0.2">
      <c r="A4" s="11">
        <v>4262054</v>
      </c>
      <c r="B4" s="11" t="s">
        <v>108</v>
      </c>
      <c r="C4" s="11" t="s">
        <v>7</v>
      </c>
      <c r="D4" s="11" t="s">
        <v>17</v>
      </c>
      <c r="E4" s="17" t="s">
        <v>109</v>
      </c>
      <c r="F4" s="14" t="s">
        <v>110</v>
      </c>
      <c r="G4" s="18" t="s">
        <v>111</v>
      </c>
      <c r="H4" s="11" t="s">
        <v>112</v>
      </c>
      <c r="I4" s="11">
        <v>11</v>
      </c>
      <c r="J4" s="11" t="s">
        <v>113</v>
      </c>
      <c r="K4" s="11"/>
      <c r="L4" s="11"/>
      <c r="M4" s="11"/>
      <c r="N4" s="11"/>
      <c r="O4" s="11" t="s">
        <v>114</v>
      </c>
      <c r="P4" s="14" t="s">
        <v>115</v>
      </c>
      <c r="Q4" s="11" t="s">
        <v>116</v>
      </c>
      <c r="R4" s="14" t="s">
        <v>117</v>
      </c>
      <c r="S4" s="12" t="s">
        <v>118</v>
      </c>
      <c r="T4" s="11" t="s">
        <v>119</v>
      </c>
      <c r="U4" s="11" t="s">
        <v>119</v>
      </c>
      <c r="V4" s="19" t="s">
        <v>120</v>
      </c>
    </row>
    <row r="5" spans="1:22" ht="30" x14ac:dyDescent="0.2">
      <c r="A5" s="11">
        <v>4079157</v>
      </c>
      <c r="B5" s="11" t="s">
        <v>121</v>
      </c>
      <c r="C5" s="11" t="s">
        <v>7</v>
      </c>
      <c r="D5" s="11" t="s">
        <v>18</v>
      </c>
      <c r="E5" s="17" t="s">
        <v>109</v>
      </c>
      <c r="F5" s="14" t="s">
        <v>122</v>
      </c>
      <c r="G5" s="18" t="s">
        <v>111</v>
      </c>
      <c r="H5" s="11" t="s">
        <v>123</v>
      </c>
      <c r="I5" s="11">
        <v>35</v>
      </c>
      <c r="J5" s="11" t="s">
        <v>113</v>
      </c>
      <c r="K5" s="11"/>
      <c r="L5" s="11"/>
      <c r="M5" s="11"/>
      <c r="N5" s="11"/>
      <c r="O5" s="11" t="s">
        <v>114</v>
      </c>
      <c r="P5" s="14" t="s">
        <v>124</v>
      </c>
      <c r="Q5" s="11" t="s">
        <v>125</v>
      </c>
      <c r="R5" s="14" t="s">
        <v>126</v>
      </c>
      <c r="S5" s="12" t="s">
        <v>127</v>
      </c>
      <c r="T5" s="11" t="s">
        <v>119</v>
      </c>
      <c r="U5" s="11" t="s">
        <v>119</v>
      </c>
      <c r="V5" s="19" t="s">
        <v>120</v>
      </c>
    </row>
    <row r="6" spans="1:22" ht="45" x14ac:dyDescent="0.2">
      <c r="A6" s="11">
        <v>4299438</v>
      </c>
      <c r="B6" s="11" t="s">
        <v>128</v>
      </c>
      <c r="C6" s="11" t="s">
        <v>7</v>
      </c>
      <c r="D6" s="11" t="s">
        <v>18</v>
      </c>
      <c r="E6" s="17" t="s">
        <v>109</v>
      </c>
      <c r="F6" s="14" t="s">
        <v>129</v>
      </c>
      <c r="G6" s="18" t="s">
        <v>111</v>
      </c>
      <c r="H6" s="11" t="s">
        <v>130</v>
      </c>
      <c r="I6" s="11">
        <v>7</v>
      </c>
      <c r="J6" s="11" t="s">
        <v>113</v>
      </c>
      <c r="K6" s="11"/>
      <c r="L6" s="11"/>
      <c r="M6" s="11"/>
      <c r="N6" s="11"/>
      <c r="O6" s="11" t="s">
        <v>131</v>
      </c>
      <c r="P6" s="14" t="s">
        <v>132</v>
      </c>
      <c r="Q6" s="11" t="s">
        <v>116</v>
      </c>
      <c r="R6" s="14" t="s">
        <v>133</v>
      </c>
      <c r="S6" s="12" t="s">
        <v>134</v>
      </c>
      <c r="T6" s="11" t="s">
        <v>119</v>
      </c>
      <c r="U6" s="11" t="s">
        <v>119</v>
      </c>
      <c r="V6" s="19" t="s">
        <v>120</v>
      </c>
    </row>
    <row r="7" spans="1:22" ht="30" x14ac:dyDescent="0.2">
      <c r="A7" s="11">
        <v>4336926</v>
      </c>
      <c r="B7" s="11" t="s">
        <v>135</v>
      </c>
      <c r="C7" s="11" t="s">
        <v>7</v>
      </c>
      <c r="D7" s="11" t="s">
        <v>15</v>
      </c>
      <c r="E7" s="17" t="s">
        <v>109</v>
      </c>
      <c r="F7" s="14" t="s">
        <v>136</v>
      </c>
      <c r="G7" s="18" t="s">
        <v>111</v>
      </c>
      <c r="H7" s="11" t="s">
        <v>130</v>
      </c>
      <c r="I7" s="11">
        <v>7</v>
      </c>
      <c r="J7" s="11" t="s">
        <v>113</v>
      </c>
      <c r="K7" s="11"/>
      <c r="L7" s="11"/>
      <c r="M7" s="11"/>
      <c r="N7" s="11"/>
      <c r="O7" s="11" t="s">
        <v>131</v>
      </c>
      <c r="P7" s="14" t="s">
        <v>137</v>
      </c>
      <c r="Q7" s="11" t="s">
        <v>138</v>
      </c>
      <c r="R7" s="14" t="s">
        <v>139</v>
      </c>
      <c r="S7" s="12" t="s">
        <v>134</v>
      </c>
      <c r="T7" s="11" t="s">
        <v>119</v>
      </c>
      <c r="U7" s="11" t="s">
        <v>119</v>
      </c>
      <c r="V7" s="19" t="s">
        <v>120</v>
      </c>
    </row>
    <row r="8" spans="1:22" ht="45" x14ac:dyDescent="0.2">
      <c r="A8" s="11">
        <v>3623014</v>
      </c>
      <c r="B8" s="11" t="s">
        <v>140</v>
      </c>
      <c r="C8" s="11" t="s">
        <v>12</v>
      </c>
      <c r="D8" s="11" t="s">
        <v>18</v>
      </c>
      <c r="E8" s="17" t="s">
        <v>109</v>
      </c>
      <c r="F8" s="14" t="s">
        <v>141</v>
      </c>
      <c r="G8" s="18" t="s">
        <v>111</v>
      </c>
      <c r="H8" s="11" t="s">
        <v>142</v>
      </c>
      <c r="I8" s="11">
        <v>127</v>
      </c>
      <c r="J8" s="11" t="s">
        <v>113</v>
      </c>
      <c r="K8" s="11"/>
      <c r="L8" s="11"/>
      <c r="M8" s="11"/>
      <c r="N8" s="11"/>
      <c r="O8" s="11" t="s">
        <v>143</v>
      </c>
      <c r="P8" s="14" t="s">
        <v>144</v>
      </c>
      <c r="Q8" s="11" t="s">
        <v>145</v>
      </c>
      <c r="R8" s="14" t="s">
        <v>133</v>
      </c>
      <c r="S8" s="12" t="s">
        <v>127</v>
      </c>
      <c r="T8" s="11" t="s">
        <v>119</v>
      </c>
      <c r="U8" s="11" t="s">
        <v>119</v>
      </c>
      <c r="V8" s="19" t="s">
        <v>120</v>
      </c>
    </row>
    <row r="9" spans="1:22" ht="30" x14ac:dyDescent="0.2">
      <c r="A9" s="11">
        <v>3304063</v>
      </c>
      <c r="B9" s="11" t="s">
        <v>146</v>
      </c>
      <c r="C9" s="11" t="s">
        <v>11</v>
      </c>
      <c r="D9" s="11" t="s">
        <v>18</v>
      </c>
      <c r="E9" s="17" t="s">
        <v>109</v>
      </c>
      <c r="F9" s="14" t="s">
        <v>147</v>
      </c>
      <c r="G9" s="18" t="s">
        <v>111</v>
      </c>
      <c r="H9" s="11" t="s">
        <v>148</v>
      </c>
      <c r="I9" s="11">
        <v>203</v>
      </c>
      <c r="J9" s="11" t="s">
        <v>113</v>
      </c>
      <c r="K9" s="11"/>
      <c r="L9" s="11"/>
      <c r="M9" s="20">
        <v>210983</v>
      </c>
      <c r="N9" s="11">
        <v>5</v>
      </c>
      <c r="O9" s="11" t="s">
        <v>131</v>
      </c>
      <c r="P9" s="14" t="s">
        <v>149</v>
      </c>
      <c r="Q9" s="11" t="s">
        <v>150</v>
      </c>
      <c r="R9" s="14" t="s">
        <v>151</v>
      </c>
      <c r="S9" s="12" t="s">
        <v>127</v>
      </c>
      <c r="T9" s="11" t="s">
        <v>119</v>
      </c>
      <c r="U9" s="11" t="s">
        <v>119</v>
      </c>
      <c r="V9" s="19" t="s">
        <v>120</v>
      </c>
    </row>
    <row r="10" spans="1:22" ht="30" x14ac:dyDescent="0.2">
      <c r="A10" s="11">
        <v>3575524</v>
      </c>
      <c r="B10" s="11" t="s">
        <v>152</v>
      </c>
      <c r="C10" s="11" t="s">
        <v>12</v>
      </c>
      <c r="D10" s="11" t="s">
        <v>18</v>
      </c>
      <c r="E10" s="17" t="s">
        <v>109</v>
      </c>
      <c r="F10" s="14" t="s">
        <v>153</v>
      </c>
      <c r="G10" s="11" t="s">
        <v>154</v>
      </c>
      <c r="H10" s="11" t="s">
        <v>155</v>
      </c>
      <c r="I10" s="11">
        <v>126</v>
      </c>
      <c r="J10" s="11" t="s">
        <v>113</v>
      </c>
      <c r="K10" s="11"/>
      <c r="L10" s="11"/>
      <c r="M10" s="11"/>
      <c r="N10" s="11"/>
      <c r="O10" s="11" t="s">
        <v>156</v>
      </c>
      <c r="P10" s="14" t="s">
        <v>157</v>
      </c>
      <c r="Q10" s="11" t="s">
        <v>145</v>
      </c>
      <c r="R10" s="14" t="s">
        <v>117</v>
      </c>
      <c r="S10" s="12" t="s">
        <v>127</v>
      </c>
      <c r="T10" s="11" t="s">
        <v>119</v>
      </c>
      <c r="U10" s="11" t="s">
        <v>119</v>
      </c>
      <c r="V10" s="19" t="s">
        <v>120</v>
      </c>
    </row>
    <row r="11" spans="1:22" ht="30" x14ac:dyDescent="0.2">
      <c r="A11" s="11">
        <v>4255681</v>
      </c>
      <c r="B11" s="11" t="s">
        <v>158</v>
      </c>
      <c r="C11" s="11" t="s">
        <v>8</v>
      </c>
      <c r="D11" s="11" t="s">
        <v>17</v>
      </c>
      <c r="E11" s="17" t="s">
        <v>109</v>
      </c>
      <c r="F11" s="14" t="s">
        <v>159</v>
      </c>
      <c r="G11" s="11" t="s">
        <v>154</v>
      </c>
      <c r="H11" s="11" t="s">
        <v>160</v>
      </c>
      <c r="I11" s="11">
        <v>3</v>
      </c>
      <c r="J11" s="11" t="s">
        <v>113</v>
      </c>
      <c r="K11" s="15" t="s">
        <v>113</v>
      </c>
      <c r="L11" s="11"/>
      <c r="M11" s="11"/>
      <c r="N11" s="11"/>
      <c r="O11" s="11" t="s">
        <v>156</v>
      </c>
      <c r="P11" s="14" t="s">
        <v>161</v>
      </c>
      <c r="Q11" s="11" t="s">
        <v>116</v>
      </c>
      <c r="R11" s="14" t="s">
        <v>117</v>
      </c>
      <c r="S11" s="21" t="s">
        <v>162</v>
      </c>
      <c r="T11" s="11" t="s">
        <v>119</v>
      </c>
      <c r="U11" s="11" t="s">
        <v>119</v>
      </c>
      <c r="V11" s="19" t="s">
        <v>120</v>
      </c>
    </row>
    <row r="12" spans="1:22" ht="30" x14ac:dyDescent="0.2">
      <c r="A12" s="11">
        <v>4313304</v>
      </c>
      <c r="B12" s="11" t="s">
        <v>163</v>
      </c>
      <c r="C12" s="11" t="s">
        <v>8</v>
      </c>
      <c r="D12" s="11" t="s">
        <v>17</v>
      </c>
      <c r="E12" s="17" t="s">
        <v>109</v>
      </c>
      <c r="F12" s="14" t="s">
        <v>164</v>
      </c>
      <c r="G12" s="11" t="s">
        <v>154</v>
      </c>
      <c r="H12" s="11" t="s">
        <v>165</v>
      </c>
      <c r="I12" s="11">
        <v>13</v>
      </c>
      <c r="J12" s="11" t="s">
        <v>113</v>
      </c>
      <c r="K12" s="15" t="s">
        <v>113</v>
      </c>
      <c r="L12" s="11"/>
      <c r="M12" s="11"/>
      <c r="N12" s="11"/>
      <c r="O12" s="11" t="s">
        <v>131</v>
      </c>
      <c r="P12" s="14" t="s">
        <v>166</v>
      </c>
      <c r="Q12" s="11" t="s">
        <v>116</v>
      </c>
      <c r="R12" s="14" t="s">
        <v>126</v>
      </c>
      <c r="S12" s="12" t="s">
        <v>118</v>
      </c>
      <c r="T12" s="11" t="s">
        <v>119</v>
      </c>
      <c r="U12" s="11" t="s">
        <v>119</v>
      </c>
      <c r="V12" s="19" t="s">
        <v>120</v>
      </c>
    </row>
    <row r="13" spans="1:22" ht="30" x14ac:dyDescent="0.2">
      <c r="A13" s="11">
        <v>3302998</v>
      </c>
      <c r="B13" s="11" t="s">
        <v>167</v>
      </c>
      <c r="C13" s="11" t="s">
        <v>10</v>
      </c>
      <c r="D13" s="11" t="s">
        <v>18</v>
      </c>
      <c r="E13" s="17" t="s">
        <v>109</v>
      </c>
      <c r="F13" s="14" t="s">
        <v>168</v>
      </c>
      <c r="G13" s="11" t="s">
        <v>154</v>
      </c>
      <c r="H13" s="11" t="s">
        <v>169</v>
      </c>
      <c r="I13" s="11">
        <v>231</v>
      </c>
      <c r="J13" s="11" t="s">
        <v>113</v>
      </c>
      <c r="K13" s="11"/>
      <c r="L13" s="11"/>
      <c r="M13" s="20">
        <v>944000</v>
      </c>
      <c r="N13" s="11">
        <v>50</v>
      </c>
      <c r="O13" s="11" t="s">
        <v>156</v>
      </c>
      <c r="P13" s="14" t="s">
        <v>170</v>
      </c>
      <c r="Q13" s="11" t="s">
        <v>150</v>
      </c>
      <c r="R13" s="14" t="s">
        <v>117</v>
      </c>
      <c r="S13" s="12" t="s">
        <v>127</v>
      </c>
      <c r="T13" s="11" t="s">
        <v>119</v>
      </c>
      <c r="U13" s="11" t="s">
        <v>119</v>
      </c>
      <c r="V13" s="19" t="s">
        <v>120</v>
      </c>
    </row>
    <row r="14" spans="1:22" ht="30" x14ac:dyDescent="0.2">
      <c r="A14" s="11">
        <v>4255693</v>
      </c>
      <c r="B14" s="11" t="s">
        <v>171</v>
      </c>
      <c r="C14" s="11" t="s">
        <v>9</v>
      </c>
      <c r="D14" s="11" t="s">
        <v>18</v>
      </c>
      <c r="E14" s="17" t="s">
        <v>109</v>
      </c>
      <c r="F14" s="14" t="s">
        <v>172</v>
      </c>
      <c r="G14" s="11" t="s">
        <v>154</v>
      </c>
      <c r="H14" s="11" t="s">
        <v>160</v>
      </c>
      <c r="I14" s="11">
        <v>3</v>
      </c>
      <c r="J14" s="11" t="s">
        <v>113</v>
      </c>
      <c r="K14" s="15" t="s">
        <v>113</v>
      </c>
      <c r="L14" s="11"/>
      <c r="M14" s="11"/>
      <c r="N14" s="11"/>
      <c r="O14" s="11" t="s">
        <v>156</v>
      </c>
      <c r="P14" s="14" t="s">
        <v>173</v>
      </c>
      <c r="Q14" s="11" t="s">
        <v>116</v>
      </c>
      <c r="R14" s="14" t="s">
        <v>117</v>
      </c>
      <c r="S14" s="21" t="s">
        <v>162</v>
      </c>
      <c r="T14" s="11" t="s">
        <v>119</v>
      </c>
      <c r="U14" s="11" t="s">
        <v>119</v>
      </c>
      <c r="V14" s="19" t="s">
        <v>120</v>
      </c>
    </row>
    <row r="15" spans="1:22" ht="45" x14ac:dyDescent="0.2">
      <c r="A15" s="11">
        <v>4177642</v>
      </c>
      <c r="B15" s="11" t="s">
        <v>174</v>
      </c>
      <c r="C15" s="11" t="s">
        <v>11</v>
      </c>
      <c r="D15" s="11" t="s">
        <v>17</v>
      </c>
      <c r="E15" s="17" t="s">
        <v>109</v>
      </c>
      <c r="F15" s="14" t="s">
        <v>175</v>
      </c>
      <c r="G15" s="11" t="s">
        <v>154</v>
      </c>
      <c r="H15" s="11" t="s">
        <v>130</v>
      </c>
      <c r="I15" s="11">
        <v>7</v>
      </c>
      <c r="J15" s="11" t="s">
        <v>113</v>
      </c>
      <c r="K15" s="15" t="s">
        <v>113</v>
      </c>
      <c r="L15" s="11"/>
      <c r="M15" s="11"/>
      <c r="N15" s="11"/>
      <c r="O15" s="11" t="s">
        <v>131</v>
      </c>
      <c r="P15" s="14" t="s">
        <v>176</v>
      </c>
      <c r="Q15" s="11" t="s">
        <v>125</v>
      </c>
      <c r="R15" s="14" t="s">
        <v>177</v>
      </c>
      <c r="S15" s="12" t="s">
        <v>134</v>
      </c>
      <c r="T15" s="11" t="s">
        <v>119</v>
      </c>
      <c r="U15" s="11" t="s">
        <v>119</v>
      </c>
      <c r="V15" s="19" t="s">
        <v>120</v>
      </c>
    </row>
    <row r="16" spans="1:22" ht="45" x14ac:dyDescent="0.2">
      <c r="A16" s="11">
        <v>4144089</v>
      </c>
      <c r="B16" s="11" t="s">
        <v>178</v>
      </c>
      <c r="C16" s="11" t="s">
        <v>6</v>
      </c>
      <c r="D16" s="11" t="s">
        <v>17</v>
      </c>
      <c r="E16" s="17" t="s">
        <v>109</v>
      </c>
      <c r="F16" s="14" t="s">
        <v>179</v>
      </c>
      <c r="G16" s="11" t="s">
        <v>154</v>
      </c>
      <c r="H16" s="11" t="s">
        <v>180</v>
      </c>
      <c r="I16" s="11">
        <v>27</v>
      </c>
      <c r="J16" s="11" t="s">
        <v>113</v>
      </c>
      <c r="K16" s="15" t="s">
        <v>113</v>
      </c>
      <c r="L16" s="11"/>
      <c r="M16" s="11"/>
      <c r="N16" s="11"/>
      <c r="O16" s="11" t="s">
        <v>131</v>
      </c>
      <c r="P16" s="14" t="s">
        <v>181</v>
      </c>
      <c r="Q16" s="11" t="s">
        <v>125</v>
      </c>
      <c r="R16" s="14" t="s">
        <v>182</v>
      </c>
      <c r="S16" s="12" t="s">
        <v>183</v>
      </c>
      <c r="T16" s="11" t="s">
        <v>119</v>
      </c>
      <c r="U16" s="11" t="s">
        <v>119</v>
      </c>
      <c r="V16" s="19" t="s">
        <v>120</v>
      </c>
    </row>
    <row r="17" spans="1:22" ht="45" x14ac:dyDescent="0.2">
      <c r="A17" s="11">
        <v>3968505</v>
      </c>
      <c r="B17" s="11" t="s">
        <v>184</v>
      </c>
      <c r="C17" s="11" t="s">
        <v>6</v>
      </c>
      <c r="D17" s="11" t="s">
        <v>17</v>
      </c>
      <c r="E17" s="17" t="s">
        <v>109</v>
      </c>
      <c r="F17" s="14" t="s">
        <v>185</v>
      </c>
      <c r="G17" s="11" t="s">
        <v>154</v>
      </c>
      <c r="H17" s="11" t="s">
        <v>186</v>
      </c>
      <c r="I17" s="11">
        <v>41</v>
      </c>
      <c r="J17" s="11" t="s">
        <v>113</v>
      </c>
      <c r="K17" s="11"/>
      <c r="L17" s="11"/>
      <c r="M17" s="11"/>
      <c r="N17" s="11"/>
      <c r="O17" s="11" t="s">
        <v>156</v>
      </c>
      <c r="P17" s="14" t="s">
        <v>187</v>
      </c>
      <c r="Q17" s="11" t="s">
        <v>145</v>
      </c>
      <c r="R17" s="14" t="s">
        <v>133</v>
      </c>
      <c r="S17" s="12" t="s">
        <v>127</v>
      </c>
      <c r="T17" s="11" t="s">
        <v>119</v>
      </c>
      <c r="U17" s="11" t="s">
        <v>119</v>
      </c>
      <c r="V17" s="19" t="s">
        <v>120</v>
      </c>
    </row>
    <row r="18" spans="1:22" ht="30" x14ac:dyDescent="0.2">
      <c r="A18" s="11">
        <v>4233715</v>
      </c>
      <c r="B18" s="11" t="s">
        <v>188</v>
      </c>
      <c r="C18" s="11" t="s">
        <v>6</v>
      </c>
      <c r="D18" s="11" t="s">
        <v>18</v>
      </c>
      <c r="E18" s="17" t="s">
        <v>109</v>
      </c>
      <c r="F18" s="14" t="s">
        <v>189</v>
      </c>
      <c r="G18" s="11" t="s">
        <v>154</v>
      </c>
      <c r="H18" s="11" t="s">
        <v>190</v>
      </c>
      <c r="I18" s="11">
        <v>28</v>
      </c>
      <c r="J18" s="11" t="s">
        <v>113</v>
      </c>
      <c r="K18" s="11"/>
      <c r="L18" s="11"/>
      <c r="M18" s="11"/>
      <c r="N18" s="11"/>
      <c r="O18" s="11" t="s">
        <v>131</v>
      </c>
      <c r="P18" s="14" t="s">
        <v>191</v>
      </c>
      <c r="Q18" s="11" t="s">
        <v>116</v>
      </c>
      <c r="R18" s="14" t="s">
        <v>151</v>
      </c>
      <c r="S18" s="12" t="s">
        <v>183</v>
      </c>
      <c r="T18" s="11" t="s">
        <v>119</v>
      </c>
      <c r="U18" s="11" t="s">
        <v>119</v>
      </c>
      <c r="V18" s="19" t="s">
        <v>120</v>
      </c>
    </row>
    <row r="19" spans="1:22" ht="45" x14ac:dyDescent="0.2">
      <c r="A19" s="11">
        <v>4233760</v>
      </c>
      <c r="B19" s="11" t="s">
        <v>192</v>
      </c>
      <c r="C19" s="11" t="s">
        <v>6</v>
      </c>
      <c r="D19" s="11" t="s">
        <v>17</v>
      </c>
      <c r="E19" s="17" t="s">
        <v>109</v>
      </c>
      <c r="F19" s="14" t="s">
        <v>179</v>
      </c>
      <c r="G19" s="11" t="s">
        <v>154</v>
      </c>
      <c r="H19" s="11" t="s">
        <v>180</v>
      </c>
      <c r="I19" s="11">
        <v>27</v>
      </c>
      <c r="J19" s="11" t="s">
        <v>113</v>
      </c>
      <c r="K19" s="15" t="s">
        <v>113</v>
      </c>
      <c r="L19" s="11"/>
      <c r="M19" s="11"/>
      <c r="N19" s="11"/>
      <c r="O19" s="11" t="s">
        <v>131</v>
      </c>
      <c r="P19" s="14" t="s">
        <v>193</v>
      </c>
      <c r="Q19" s="11" t="s">
        <v>116</v>
      </c>
      <c r="R19" s="14" t="s">
        <v>133</v>
      </c>
      <c r="S19" s="12" t="s">
        <v>183</v>
      </c>
      <c r="T19" s="11" t="s">
        <v>119</v>
      </c>
      <c r="U19" s="11" t="s">
        <v>119</v>
      </c>
      <c r="V19" s="19" t="s">
        <v>120</v>
      </c>
    </row>
    <row r="20" spans="1:22" ht="30" x14ac:dyDescent="0.2">
      <c r="A20" s="11">
        <v>4337048</v>
      </c>
      <c r="B20" s="11" t="s">
        <v>194</v>
      </c>
      <c r="C20" s="11" t="s">
        <v>6</v>
      </c>
      <c r="D20" s="11" t="s">
        <v>18</v>
      </c>
      <c r="E20" s="17" t="s">
        <v>109</v>
      </c>
      <c r="F20" s="14" t="s">
        <v>195</v>
      </c>
      <c r="G20" s="11" t="s">
        <v>154</v>
      </c>
      <c r="H20" s="11" t="s">
        <v>160</v>
      </c>
      <c r="I20" s="11">
        <v>3</v>
      </c>
      <c r="J20" s="11" t="s">
        <v>113</v>
      </c>
      <c r="K20" s="11"/>
      <c r="L20" s="11"/>
      <c r="M20" s="11"/>
      <c r="N20" s="11"/>
      <c r="O20" s="11" t="s">
        <v>156</v>
      </c>
      <c r="P20" s="14" t="s">
        <v>196</v>
      </c>
      <c r="Q20" s="11" t="s">
        <v>138</v>
      </c>
      <c r="R20" s="14" t="s">
        <v>197</v>
      </c>
      <c r="S20" s="21" t="s">
        <v>162</v>
      </c>
      <c r="T20" s="11" t="s">
        <v>119</v>
      </c>
      <c r="U20" s="11" t="s">
        <v>119</v>
      </c>
      <c r="V20" s="19" t="s">
        <v>120</v>
      </c>
    </row>
    <row r="21" spans="1:22" ht="30" x14ac:dyDescent="0.2">
      <c r="A21" s="11">
        <v>4345401</v>
      </c>
      <c r="B21" s="11" t="s">
        <v>198</v>
      </c>
      <c r="C21" s="11" t="s">
        <v>7</v>
      </c>
      <c r="D21" s="11" t="s">
        <v>17</v>
      </c>
      <c r="E21" s="17" t="s">
        <v>199</v>
      </c>
      <c r="F21" s="14" t="s">
        <v>200</v>
      </c>
      <c r="G21" s="18" t="s">
        <v>111</v>
      </c>
      <c r="H21" s="11" t="s">
        <v>130</v>
      </c>
      <c r="I21" s="11">
        <v>7</v>
      </c>
      <c r="J21" s="11" t="s">
        <v>113</v>
      </c>
      <c r="K21" s="11"/>
      <c r="L21" s="11"/>
      <c r="M21" s="11"/>
      <c r="N21" s="11"/>
      <c r="O21" s="11" t="s">
        <v>131</v>
      </c>
      <c r="P21" s="14" t="s">
        <v>201</v>
      </c>
      <c r="Q21" s="11" t="s">
        <v>138</v>
      </c>
      <c r="R21" s="14" t="s">
        <v>202</v>
      </c>
      <c r="S21" s="12" t="s">
        <v>134</v>
      </c>
      <c r="T21" s="11" t="s">
        <v>119</v>
      </c>
      <c r="U21" s="11" t="s">
        <v>119</v>
      </c>
      <c r="V21" s="19" t="s">
        <v>120</v>
      </c>
    </row>
    <row r="22" spans="1:22" ht="30" x14ac:dyDescent="0.2">
      <c r="A22" s="11">
        <v>4334932</v>
      </c>
      <c r="B22" s="11" t="s">
        <v>203</v>
      </c>
      <c r="C22" s="11" t="s">
        <v>9</v>
      </c>
      <c r="D22" s="11" t="s">
        <v>17</v>
      </c>
      <c r="E22" s="17" t="s">
        <v>199</v>
      </c>
      <c r="F22" s="14" t="s">
        <v>204</v>
      </c>
      <c r="G22" s="18" t="s">
        <v>111</v>
      </c>
      <c r="H22" s="11" t="s">
        <v>205</v>
      </c>
      <c r="I22" s="11">
        <v>10</v>
      </c>
      <c r="J22" s="11" t="s">
        <v>113</v>
      </c>
      <c r="K22" s="11"/>
      <c r="L22" s="15" t="s">
        <v>113</v>
      </c>
      <c r="M22" s="11"/>
      <c r="N22" s="11">
        <v>2</v>
      </c>
      <c r="O22" s="11" t="s">
        <v>143</v>
      </c>
      <c r="P22" s="14" t="s">
        <v>206</v>
      </c>
      <c r="Q22" s="11" t="s">
        <v>138</v>
      </c>
      <c r="R22" s="14" t="s">
        <v>207</v>
      </c>
      <c r="S22" s="12" t="s">
        <v>134</v>
      </c>
      <c r="T22" s="11" t="s">
        <v>119</v>
      </c>
      <c r="U22" s="11" t="s">
        <v>119</v>
      </c>
      <c r="V22" s="19" t="s">
        <v>120</v>
      </c>
    </row>
    <row r="23" spans="1:22" ht="30" x14ac:dyDescent="0.2">
      <c r="A23" s="11">
        <v>4382909</v>
      </c>
      <c r="B23" s="11" t="s">
        <v>208</v>
      </c>
      <c r="C23" s="11" t="s">
        <v>8</v>
      </c>
      <c r="D23" s="11" t="s">
        <v>17</v>
      </c>
      <c r="E23" s="17" t="s">
        <v>199</v>
      </c>
      <c r="F23" s="14" t="s">
        <v>209</v>
      </c>
      <c r="G23" s="11" t="s">
        <v>154</v>
      </c>
      <c r="H23" s="11" t="s">
        <v>210</v>
      </c>
      <c r="I23" s="11">
        <v>8</v>
      </c>
      <c r="J23" s="11" t="s">
        <v>113</v>
      </c>
      <c r="K23" s="11"/>
      <c r="L23" s="11"/>
      <c r="M23" s="11"/>
      <c r="N23" s="11"/>
      <c r="O23" s="11" t="s">
        <v>131</v>
      </c>
      <c r="P23" s="14" t="s">
        <v>211</v>
      </c>
      <c r="Q23" s="11" t="s">
        <v>138</v>
      </c>
      <c r="R23" s="14" t="s">
        <v>212</v>
      </c>
      <c r="S23" s="12" t="s">
        <v>134</v>
      </c>
      <c r="T23" s="11" t="s">
        <v>119</v>
      </c>
      <c r="U23" s="11" t="s">
        <v>119</v>
      </c>
      <c r="V23" s="19" t="s">
        <v>120</v>
      </c>
    </row>
    <row r="24" spans="1:22" ht="30" x14ac:dyDescent="0.2">
      <c r="A24" s="11">
        <v>4267898</v>
      </c>
      <c r="B24" s="11" t="s">
        <v>213</v>
      </c>
      <c r="C24" s="11" t="s">
        <v>8</v>
      </c>
      <c r="D24" s="11" t="s">
        <v>17</v>
      </c>
      <c r="E24" s="17" t="s">
        <v>199</v>
      </c>
      <c r="F24" s="14" t="s">
        <v>204</v>
      </c>
      <c r="G24" s="11" t="s">
        <v>154</v>
      </c>
      <c r="H24" s="11" t="s">
        <v>205</v>
      </c>
      <c r="I24" s="11">
        <v>10</v>
      </c>
      <c r="J24" s="11" t="s">
        <v>113</v>
      </c>
      <c r="K24" s="15" t="s">
        <v>113</v>
      </c>
      <c r="L24" s="11"/>
      <c r="M24" s="20">
        <v>28320</v>
      </c>
      <c r="N24" s="11">
        <v>2</v>
      </c>
      <c r="O24" s="11" t="s">
        <v>131</v>
      </c>
      <c r="P24" s="14" t="s">
        <v>214</v>
      </c>
      <c r="Q24" s="11" t="s">
        <v>116</v>
      </c>
      <c r="R24" s="14" t="s">
        <v>207</v>
      </c>
      <c r="S24" s="12" t="s">
        <v>134</v>
      </c>
      <c r="T24" s="11" t="s">
        <v>119</v>
      </c>
      <c r="U24" s="11" t="s">
        <v>119</v>
      </c>
      <c r="V24" s="19" t="s">
        <v>120</v>
      </c>
    </row>
    <row r="25" spans="1:22" ht="30" x14ac:dyDescent="0.2">
      <c r="A25" s="11">
        <v>4338510</v>
      </c>
      <c r="B25" s="11" t="s">
        <v>215</v>
      </c>
      <c r="C25" s="11" t="s">
        <v>8</v>
      </c>
      <c r="D25" s="11" t="s">
        <v>17</v>
      </c>
      <c r="E25" s="17" t="s">
        <v>199</v>
      </c>
      <c r="F25" s="14" t="s">
        <v>204</v>
      </c>
      <c r="G25" s="11" t="s">
        <v>154</v>
      </c>
      <c r="H25" s="11" t="s">
        <v>205</v>
      </c>
      <c r="I25" s="11">
        <v>10</v>
      </c>
      <c r="J25" s="11" t="s">
        <v>113</v>
      </c>
      <c r="K25" s="15" t="s">
        <v>113</v>
      </c>
      <c r="L25" s="11"/>
      <c r="M25" s="11"/>
      <c r="N25" s="11"/>
      <c r="O25" s="11" t="s">
        <v>131</v>
      </c>
      <c r="P25" s="14" t="s">
        <v>216</v>
      </c>
      <c r="Q25" s="11" t="s">
        <v>138</v>
      </c>
      <c r="R25" s="14" t="s">
        <v>117</v>
      </c>
      <c r="S25" s="12" t="s">
        <v>134</v>
      </c>
      <c r="T25" s="11" t="s">
        <v>119</v>
      </c>
      <c r="U25" s="11" t="s">
        <v>119</v>
      </c>
      <c r="V25" s="19" t="s">
        <v>120</v>
      </c>
    </row>
    <row r="26" spans="1:22" ht="30" x14ac:dyDescent="0.2">
      <c r="A26" s="11">
        <v>4357586</v>
      </c>
      <c r="B26" s="11" t="s">
        <v>217</v>
      </c>
      <c r="C26" s="11" t="s">
        <v>9</v>
      </c>
      <c r="D26" s="11" t="s">
        <v>17</v>
      </c>
      <c r="E26" s="17" t="s">
        <v>199</v>
      </c>
      <c r="F26" s="14" t="s">
        <v>218</v>
      </c>
      <c r="G26" s="11" t="s">
        <v>154</v>
      </c>
      <c r="H26" s="11" t="s">
        <v>219</v>
      </c>
      <c r="I26" s="11">
        <v>0</v>
      </c>
      <c r="J26" s="11" t="s">
        <v>113</v>
      </c>
      <c r="K26" s="11"/>
      <c r="L26" s="11"/>
      <c r="M26" s="11"/>
      <c r="N26" s="11"/>
      <c r="O26" s="11" t="s">
        <v>131</v>
      </c>
      <c r="P26" s="14" t="s">
        <v>220</v>
      </c>
      <c r="Q26" s="11" t="s">
        <v>138</v>
      </c>
      <c r="R26" s="14" t="s">
        <v>202</v>
      </c>
      <c r="S26" s="21" t="s">
        <v>162</v>
      </c>
      <c r="T26" s="11" t="s">
        <v>119</v>
      </c>
      <c r="U26" s="11" t="s">
        <v>119</v>
      </c>
      <c r="V26" s="19" t="s">
        <v>120</v>
      </c>
    </row>
    <row r="27" spans="1:22" ht="30" x14ac:dyDescent="0.2">
      <c r="A27" s="11">
        <v>4367528</v>
      </c>
      <c r="B27" s="11" t="s">
        <v>221</v>
      </c>
      <c r="C27" s="11" t="s">
        <v>9</v>
      </c>
      <c r="D27" s="11" t="s">
        <v>17</v>
      </c>
      <c r="E27" s="17" t="s">
        <v>199</v>
      </c>
      <c r="F27" s="14" t="s">
        <v>222</v>
      </c>
      <c r="G27" s="11" t="s">
        <v>154</v>
      </c>
      <c r="H27" s="11" t="s">
        <v>219</v>
      </c>
      <c r="I27" s="11">
        <v>0</v>
      </c>
      <c r="J27" s="11" t="s">
        <v>113</v>
      </c>
      <c r="K27" s="11"/>
      <c r="L27" s="15" t="s">
        <v>113</v>
      </c>
      <c r="M27" s="11"/>
      <c r="N27" s="11"/>
      <c r="O27" s="11" t="s">
        <v>143</v>
      </c>
      <c r="P27" s="14" t="s">
        <v>223</v>
      </c>
      <c r="Q27" s="11" t="s">
        <v>138</v>
      </c>
      <c r="R27" s="14" t="s">
        <v>202</v>
      </c>
      <c r="S27" s="21" t="s">
        <v>162</v>
      </c>
      <c r="T27" s="11" t="s">
        <v>119</v>
      </c>
      <c r="U27" s="11" t="s">
        <v>119</v>
      </c>
      <c r="V27" s="19" t="s">
        <v>120</v>
      </c>
    </row>
    <row r="28" spans="1:22" ht="30" x14ac:dyDescent="0.2">
      <c r="A28" s="11">
        <v>4386522</v>
      </c>
      <c r="B28" s="11" t="s">
        <v>224</v>
      </c>
      <c r="C28" s="11" t="s">
        <v>9</v>
      </c>
      <c r="D28" s="11" t="s">
        <v>17</v>
      </c>
      <c r="E28" s="17" t="s">
        <v>199</v>
      </c>
      <c r="F28" s="14" t="s">
        <v>204</v>
      </c>
      <c r="G28" s="11" t="s">
        <v>154</v>
      </c>
      <c r="H28" s="11" t="s">
        <v>205</v>
      </c>
      <c r="I28" s="11">
        <v>10</v>
      </c>
      <c r="J28" s="11" t="s">
        <v>113</v>
      </c>
      <c r="K28" s="11"/>
      <c r="L28" s="11"/>
      <c r="M28" s="11"/>
      <c r="N28" s="11"/>
      <c r="O28" s="11" t="s">
        <v>143</v>
      </c>
      <c r="P28" s="14" t="s">
        <v>225</v>
      </c>
      <c r="Q28" s="11" t="s">
        <v>226</v>
      </c>
      <c r="R28" s="14" t="s">
        <v>227</v>
      </c>
      <c r="S28" s="12" t="s">
        <v>134</v>
      </c>
      <c r="T28" s="11" t="s">
        <v>119</v>
      </c>
      <c r="U28" s="11" t="s">
        <v>119</v>
      </c>
      <c r="V28" s="19" t="s">
        <v>120</v>
      </c>
    </row>
    <row r="29" spans="1:22" ht="30" x14ac:dyDescent="0.2">
      <c r="A29" s="11">
        <v>4348094</v>
      </c>
      <c r="B29" s="11" t="s">
        <v>228</v>
      </c>
      <c r="C29" s="11" t="s">
        <v>9</v>
      </c>
      <c r="D29" s="11" t="s">
        <v>17</v>
      </c>
      <c r="E29" s="17" t="s">
        <v>199</v>
      </c>
      <c r="F29" s="14" t="s">
        <v>229</v>
      </c>
      <c r="G29" s="11" t="s">
        <v>154</v>
      </c>
      <c r="H29" s="11" t="s">
        <v>219</v>
      </c>
      <c r="I29" s="11">
        <v>0</v>
      </c>
      <c r="J29" s="11" t="s">
        <v>113</v>
      </c>
      <c r="K29" s="11"/>
      <c r="L29" s="11"/>
      <c r="M29" s="11"/>
      <c r="N29" s="11"/>
      <c r="O29" s="11" t="s">
        <v>143</v>
      </c>
      <c r="P29" s="14" t="s">
        <v>230</v>
      </c>
      <c r="Q29" s="11" t="s">
        <v>138</v>
      </c>
      <c r="R29" s="14" t="s">
        <v>227</v>
      </c>
      <c r="S29" s="21" t="s">
        <v>162</v>
      </c>
      <c r="T29" s="11" t="s">
        <v>119</v>
      </c>
      <c r="U29" s="11" t="s">
        <v>119</v>
      </c>
      <c r="V29" s="19" t="s">
        <v>120</v>
      </c>
    </row>
    <row r="30" spans="1:22" ht="30" x14ac:dyDescent="0.2">
      <c r="A30" s="11">
        <v>4147287</v>
      </c>
      <c r="B30" s="11" t="s">
        <v>231</v>
      </c>
      <c r="C30" s="11" t="s">
        <v>6</v>
      </c>
      <c r="D30" s="11" t="s">
        <v>18</v>
      </c>
      <c r="E30" s="17" t="s">
        <v>199</v>
      </c>
      <c r="F30" s="14" t="s">
        <v>232</v>
      </c>
      <c r="G30" s="11" t="s">
        <v>154</v>
      </c>
      <c r="H30" s="11" t="s">
        <v>205</v>
      </c>
      <c r="I30" s="11">
        <v>10</v>
      </c>
      <c r="J30" s="11" t="s">
        <v>113</v>
      </c>
      <c r="K30" s="15" t="s">
        <v>113</v>
      </c>
      <c r="L30" s="11"/>
      <c r="M30" s="11"/>
      <c r="N30" s="11"/>
      <c r="O30" s="11" t="s">
        <v>156</v>
      </c>
      <c r="P30" s="14" t="s">
        <v>233</v>
      </c>
      <c r="Q30" s="11" t="s">
        <v>125</v>
      </c>
      <c r="R30" s="14" t="s">
        <v>234</v>
      </c>
      <c r="S30" s="12" t="s">
        <v>134</v>
      </c>
      <c r="T30" s="11" t="s">
        <v>119</v>
      </c>
      <c r="U30" s="11" t="s">
        <v>119</v>
      </c>
      <c r="V30" s="19" t="s">
        <v>120</v>
      </c>
    </row>
    <row r="31" spans="1:22" ht="45" x14ac:dyDescent="0.2">
      <c r="A31" s="11">
        <v>4325921</v>
      </c>
      <c r="B31" s="11" t="s">
        <v>235</v>
      </c>
      <c r="C31" s="11" t="s">
        <v>6</v>
      </c>
      <c r="D31" s="11" t="s">
        <v>17</v>
      </c>
      <c r="E31" s="17" t="s">
        <v>199</v>
      </c>
      <c r="F31" s="14" t="s">
        <v>204</v>
      </c>
      <c r="G31" s="11" t="s">
        <v>154</v>
      </c>
      <c r="H31" s="11" t="s">
        <v>205</v>
      </c>
      <c r="I31" s="11">
        <v>10</v>
      </c>
      <c r="J31" s="11" t="s">
        <v>113</v>
      </c>
      <c r="K31" s="11"/>
      <c r="L31" s="11"/>
      <c r="M31" s="11"/>
      <c r="N31" s="11"/>
      <c r="O31" s="11" t="s">
        <v>131</v>
      </c>
      <c r="P31" s="14" t="s">
        <v>236</v>
      </c>
      <c r="Q31" s="11" t="s">
        <v>116</v>
      </c>
      <c r="R31" s="14" t="s">
        <v>237</v>
      </c>
      <c r="S31" s="12" t="s">
        <v>134</v>
      </c>
      <c r="T31" s="11" t="s">
        <v>119</v>
      </c>
      <c r="U31" s="11" t="s">
        <v>119</v>
      </c>
      <c r="V31" s="19" t="s">
        <v>120</v>
      </c>
    </row>
    <row r="32" spans="1:22" ht="30" x14ac:dyDescent="0.2">
      <c r="A32" s="11">
        <v>4370308</v>
      </c>
      <c r="B32" s="11" t="s">
        <v>238</v>
      </c>
      <c r="C32" s="11" t="s">
        <v>6</v>
      </c>
      <c r="D32" s="11" t="s">
        <v>17</v>
      </c>
      <c r="E32" s="17" t="s">
        <v>199</v>
      </c>
      <c r="F32" s="14" t="s">
        <v>239</v>
      </c>
      <c r="G32" s="11" t="s">
        <v>154</v>
      </c>
      <c r="H32" s="11" t="s">
        <v>160</v>
      </c>
      <c r="I32" s="11">
        <v>3</v>
      </c>
      <c r="J32" s="11" t="s">
        <v>113</v>
      </c>
      <c r="K32" s="11"/>
      <c r="L32" s="11"/>
      <c r="M32" s="11"/>
      <c r="N32" s="11"/>
      <c r="O32" s="11" t="s">
        <v>131</v>
      </c>
      <c r="P32" s="14" t="s">
        <v>240</v>
      </c>
      <c r="Q32" s="11" t="s">
        <v>138</v>
      </c>
      <c r="R32" s="14" t="s">
        <v>241</v>
      </c>
      <c r="S32" s="21" t="s">
        <v>162</v>
      </c>
      <c r="T32" s="11" t="s">
        <v>119</v>
      </c>
      <c r="U32" s="11" t="s">
        <v>119</v>
      </c>
      <c r="V32" s="19" t="s">
        <v>120</v>
      </c>
    </row>
    <row r="33" spans="1:22" ht="30" x14ac:dyDescent="0.2">
      <c r="A33" s="11">
        <v>4412002</v>
      </c>
      <c r="B33" s="11" t="s">
        <v>242</v>
      </c>
      <c r="C33" s="11" t="s">
        <v>7</v>
      </c>
      <c r="D33" s="11" t="s">
        <v>17</v>
      </c>
      <c r="E33" s="12" t="s">
        <v>243</v>
      </c>
      <c r="F33" s="14" t="s">
        <v>244</v>
      </c>
      <c r="G33" s="18" t="s">
        <v>111</v>
      </c>
      <c r="H33" s="11" t="s">
        <v>245</v>
      </c>
      <c r="I33" s="11">
        <v>6</v>
      </c>
      <c r="J33" s="11" t="s">
        <v>113</v>
      </c>
      <c r="K33" s="11"/>
      <c r="L33" s="11"/>
      <c r="M33" s="11"/>
      <c r="N33" s="11">
        <v>2</v>
      </c>
      <c r="O33" s="11" t="s">
        <v>131</v>
      </c>
      <c r="P33" s="14" t="s">
        <v>246</v>
      </c>
      <c r="Q33" s="11" t="s">
        <v>226</v>
      </c>
      <c r="R33" s="14" t="s">
        <v>247</v>
      </c>
      <c r="S33" s="12" t="s">
        <v>134</v>
      </c>
      <c r="T33" s="11" t="s">
        <v>119</v>
      </c>
      <c r="U33" s="11" t="s">
        <v>119</v>
      </c>
      <c r="V33" s="19" t="s">
        <v>120</v>
      </c>
    </row>
    <row r="34" spans="1:22" ht="30" x14ac:dyDescent="0.2">
      <c r="A34" s="11">
        <v>4383150</v>
      </c>
      <c r="B34" s="11" t="s">
        <v>248</v>
      </c>
      <c r="C34" s="11" t="s">
        <v>7</v>
      </c>
      <c r="D34" s="11" t="s">
        <v>17</v>
      </c>
      <c r="E34" s="12" t="s">
        <v>243</v>
      </c>
      <c r="F34" s="14" t="s">
        <v>249</v>
      </c>
      <c r="G34" s="18" t="s">
        <v>111</v>
      </c>
      <c r="H34" s="11" t="s">
        <v>130</v>
      </c>
      <c r="I34" s="11">
        <v>7</v>
      </c>
      <c r="J34" s="11" t="s">
        <v>113</v>
      </c>
      <c r="K34" s="11"/>
      <c r="L34" s="11"/>
      <c r="M34" s="11"/>
      <c r="N34" s="11"/>
      <c r="O34" s="11" t="s">
        <v>143</v>
      </c>
      <c r="P34" s="14" t="s">
        <v>250</v>
      </c>
      <c r="Q34" s="11" t="s">
        <v>226</v>
      </c>
      <c r="R34" s="14" t="s">
        <v>227</v>
      </c>
      <c r="S34" s="12" t="s">
        <v>134</v>
      </c>
      <c r="T34" s="11" t="s">
        <v>119</v>
      </c>
      <c r="U34" s="11" t="s">
        <v>119</v>
      </c>
      <c r="V34" s="19" t="s">
        <v>120</v>
      </c>
    </row>
    <row r="35" spans="1:22" ht="30" x14ac:dyDescent="0.2">
      <c r="A35" s="11">
        <v>4364225</v>
      </c>
      <c r="B35" s="11" t="s">
        <v>251</v>
      </c>
      <c r="C35" s="11" t="s">
        <v>7</v>
      </c>
      <c r="D35" s="11" t="s">
        <v>17</v>
      </c>
      <c r="E35" s="12" t="s">
        <v>243</v>
      </c>
      <c r="F35" s="14" t="s">
        <v>249</v>
      </c>
      <c r="G35" s="18" t="s">
        <v>111</v>
      </c>
      <c r="H35" s="11" t="s">
        <v>130</v>
      </c>
      <c r="I35" s="11">
        <v>7</v>
      </c>
      <c r="J35" s="11" t="s">
        <v>113</v>
      </c>
      <c r="K35" s="11"/>
      <c r="L35" s="11"/>
      <c r="M35" s="11"/>
      <c r="N35" s="11"/>
      <c r="O35" s="11" t="s">
        <v>143</v>
      </c>
      <c r="P35" s="14" t="s">
        <v>252</v>
      </c>
      <c r="Q35" s="11" t="s">
        <v>138</v>
      </c>
      <c r="R35" s="14" t="s">
        <v>126</v>
      </c>
      <c r="S35" s="12" t="s">
        <v>134</v>
      </c>
      <c r="T35" s="11" t="s">
        <v>119</v>
      </c>
      <c r="U35" s="11" t="s">
        <v>119</v>
      </c>
      <c r="V35" s="19" t="s">
        <v>120</v>
      </c>
    </row>
    <row r="36" spans="1:22" ht="30" x14ac:dyDescent="0.2">
      <c r="A36" s="11">
        <v>4370376</v>
      </c>
      <c r="B36" s="11" t="s">
        <v>253</v>
      </c>
      <c r="C36" s="11" t="s">
        <v>7</v>
      </c>
      <c r="D36" s="11" t="s">
        <v>17</v>
      </c>
      <c r="E36" s="12" t="s">
        <v>243</v>
      </c>
      <c r="F36" s="14" t="s">
        <v>244</v>
      </c>
      <c r="G36" s="18" t="s">
        <v>111</v>
      </c>
      <c r="H36" s="11" t="s">
        <v>245</v>
      </c>
      <c r="I36" s="11">
        <v>6</v>
      </c>
      <c r="J36" s="11" t="s">
        <v>113</v>
      </c>
      <c r="K36" s="11"/>
      <c r="L36" s="11"/>
      <c r="M36" s="11"/>
      <c r="N36" s="11"/>
      <c r="O36" s="11" t="s">
        <v>131</v>
      </c>
      <c r="P36" s="14" t="s">
        <v>254</v>
      </c>
      <c r="Q36" s="11" t="s">
        <v>138</v>
      </c>
      <c r="R36" s="14" t="s">
        <v>202</v>
      </c>
      <c r="S36" s="12" t="s">
        <v>134</v>
      </c>
      <c r="T36" s="11" t="s">
        <v>119</v>
      </c>
      <c r="U36" s="11" t="s">
        <v>119</v>
      </c>
      <c r="V36" s="19" t="s">
        <v>120</v>
      </c>
    </row>
    <row r="37" spans="1:22" ht="30" x14ac:dyDescent="0.2">
      <c r="A37" s="11">
        <v>4370391</v>
      </c>
      <c r="B37" s="11" t="s">
        <v>255</v>
      </c>
      <c r="C37" s="11" t="s">
        <v>7</v>
      </c>
      <c r="D37" s="11" t="s">
        <v>17</v>
      </c>
      <c r="E37" s="12" t="s">
        <v>243</v>
      </c>
      <c r="F37" s="14" t="s">
        <v>244</v>
      </c>
      <c r="G37" s="18" t="s">
        <v>111</v>
      </c>
      <c r="H37" s="11" t="s">
        <v>245</v>
      </c>
      <c r="I37" s="11">
        <v>6</v>
      </c>
      <c r="J37" s="11" t="s">
        <v>113</v>
      </c>
      <c r="K37" s="11"/>
      <c r="L37" s="11"/>
      <c r="M37" s="11"/>
      <c r="N37" s="11"/>
      <c r="O37" s="11" t="s">
        <v>131</v>
      </c>
      <c r="P37" s="14" t="s">
        <v>256</v>
      </c>
      <c r="Q37" s="11" t="s">
        <v>138</v>
      </c>
      <c r="R37" s="14" t="s">
        <v>227</v>
      </c>
      <c r="S37" s="12" t="s">
        <v>134</v>
      </c>
      <c r="T37" s="11" t="s">
        <v>119</v>
      </c>
      <c r="U37" s="11" t="s">
        <v>119</v>
      </c>
      <c r="V37" s="19" t="s">
        <v>120</v>
      </c>
    </row>
    <row r="38" spans="1:22" ht="30" x14ac:dyDescent="0.2">
      <c r="A38" s="11">
        <v>4389674</v>
      </c>
      <c r="B38" s="11" t="s">
        <v>257</v>
      </c>
      <c r="C38" s="11" t="s">
        <v>8</v>
      </c>
      <c r="D38" s="11" t="s">
        <v>17</v>
      </c>
      <c r="E38" s="12" t="s">
        <v>243</v>
      </c>
      <c r="F38" s="14" t="s">
        <v>249</v>
      </c>
      <c r="G38" s="18" t="s">
        <v>111</v>
      </c>
      <c r="H38" s="11" t="s">
        <v>130</v>
      </c>
      <c r="I38" s="11">
        <v>7</v>
      </c>
      <c r="J38" s="11" t="s">
        <v>113</v>
      </c>
      <c r="K38" s="11"/>
      <c r="L38" s="11"/>
      <c r="M38" s="11"/>
      <c r="N38" s="11"/>
      <c r="O38" s="11" t="s">
        <v>156</v>
      </c>
      <c r="P38" s="14" t="s">
        <v>258</v>
      </c>
      <c r="Q38" s="11" t="s">
        <v>226</v>
      </c>
      <c r="R38" s="14" t="s">
        <v>227</v>
      </c>
      <c r="S38" s="12" t="s">
        <v>134</v>
      </c>
      <c r="T38" s="11" t="s">
        <v>119</v>
      </c>
      <c r="U38" s="11" t="s">
        <v>119</v>
      </c>
      <c r="V38" s="19" t="s">
        <v>120</v>
      </c>
    </row>
    <row r="39" spans="1:22" ht="30" x14ac:dyDescent="0.2">
      <c r="A39" s="11">
        <v>4230613</v>
      </c>
      <c r="B39" s="11" t="s">
        <v>259</v>
      </c>
      <c r="C39" s="11" t="s">
        <v>10</v>
      </c>
      <c r="D39" s="11" t="s">
        <v>17</v>
      </c>
      <c r="E39" s="12" t="s">
        <v>243</v>
      </c>
      <c r="F39" s="14" t="s">
        <v>249</v>
      </c>
      <c r="G39" s="18" t="s">
        <v>111</v>
      </c>
      <c r="H39" s="11" t="s">
        <v>130</v>
      </c>
      <c r="I39" s="11">
        <v>7</v>
      </c>
      <c r="J39" s="11" t="s">
        <v>113</v>
      </c>
      <c r="K39" s="15" t="s">
        <v>113</v>
      </c>
      <c r="L39" s="11"/>
      <c r="M39" s="11"/>
      <c r="N39" s="11">
        <v>150</v>
      </c>
      <c r="O39" s="11" t="s">
        <v>156</v>
      </c>
      <c r="P39" s="14" t="s">
        <v>260</v>
      </c>
      <c r="Q39" s="11" t="s">
        <v>116</v>
      </c>
      <c r="R39" s="14" t="s">
        <v>261</v>
      </c>
      <c r="S39" s="12" t="s">
        <v>134</v>
      </c>
      <c r="T39" s="11" t="s">
        <v>119</v>
      </c>
      <c r="U39" s="11" t="s">
        <v>119</v>
      </c>
      <c r="V39" s="19" t="s">
        <v>120</v>
      </c>
    </row>
    <row r="40" spans="1:22" ht="30" x14ac:dyDescent="0.2">
      <c r="A40" s="11">
        <v>3304062</v>
      </c>
      <c r="B40" s="11" t="s">
        <v>262</v>
      </c>
      <c r="C40" s="11" t="s">
        <v>11</v>
      </c>
      <c r="D40" s="11" t="s">
        <v>17</v>
      </c>
      <c r="E40" s="12" t="s">
        <v>243</v>
      </c>
      <c r="F40" s="14" t="s">
        <v>263</v>
      </c>
      <c r="G40" s="18" t="s">
        <v>111</v>
      </c>
      <c r="H40" s="11" t="s">
        <v>148</v>
      </c>
      <c r="I40" s="11">
        <v>203</v>
      </c>
      <c r="J40" s="11" t="s">
        <v>113</v>
      </c>
      <c r="K40" s="11"/>
      <c r="L40" s="11"/>
      <c r="M40" s="20">
        <v>104784</v>
      </c>
      <c r="N40" s="11">
        <v>4</v>
      </c>
      <c r="O40" s="11" t="s">
        <v>131</v>
      </c>
      <c r="P40" s="14" t="s">
        <v>149</v>
      </c>
      <c r="Q40" s="11" t="s">
        <v>150</v>
      </c>
      <c r="R40" s="14" t="s">
        <v>234</v>
      </c>
      <c r="S40" s="12" t="s">
        <v>127</v>
      </c>
      <c r="T40" s="11" t="s">
        <v>119</v>
      </c>
      <c r="U40" s="11" t="s">
        <v>119</v>
      </c>
      <c r="V40" s="19" t="s">
        <v>120</v>
      </c>
    </row>
    <row r="41" spans="1:22" ht="30" x14ac:dyDescent="0.2">
      <c r="A41" s="11">
        <v>4377422</v>
      </c>
      <c r="B41" s="11" t="s">
        <v>264</v>
      </c>
      <c r="C41" s="11" t="s">
        <v>7</v>
      </c>
      <c r="D41" s="11" t="s">
        <v>17</v>
      </c>
      <c r="E41" s="12" t="s">
        <v>243</v>
      </c>
      <c r="F41" s="14" t="s">
        <v>244</v>
      </c>
      <c r="G41" s="11" t="s">
        <v>154</v>
      </c>
      <c r="H41" s="11" t="s">
        <v>245</v>
      </c>
      <c r="I41" s="11">
        <v>6</v>
      </c>
      <c r="J41" s="11" t="s">
        <v>113</v>
      </c>
      <c r="K41" s="11"/>
      <c r="L41" s="11"/>
      <c r="M41" s="11"/>
      <c r="N41" s="11"/>
      <c r="O41" s="11" t="s">
        <v>131</v>
      </c>
      <c r="P41" s="14" t="s">
        <v>265</v>
      </c>
      <c r="Q41" s="11" t="s">
        <v>138</v>
      </c>
      <c r="R41" s="14" t="s">
        <v>227</v>
      </c>
      <c r="S41" s="12" t="s">
        <v>134</v>
      </c>
      <c r="T41" s="11" t="s">
        <v>119</v>
      </c>
      <c r="U41" s="11" t="s">
        <v>119</v>
      </c>
      <c r="V41" s="19" t="s">
        <v>120</v>
      </c>
    </row>
    <row r="42" spans="1:22" ht="30" x14ac:dyDescent="0.2">
      <c r="A42" s="11">
        <v>4386888</v>
      </c>
      <c r="B42" s="11" t="s">
        <v>266</v>
      </c>
      <c r="C42" s="11" t="s">
        <v>7</v>
      </c>
      <c r="D42" s="11" t="s">
        <v>17</v>
      </c>
      <c r="E42" s="12" t="s">
        <v>243</v>
      </c>
      <c r="F42" s="14" t="s">
        <v>249</v>
      </c>
      <c r="G42" s="11" t="s">
        <v>154</v>
      </c>
      <c r="H42" s="11" t="s">
        <v>130</v>
      </c>
      <c r="I42" s="11">
        <v>7</v>
      </c>
      <c r="J42" s="11" t="s">
        <v>113</v>
      </c>
      <c r="K42" s="11"/>
      <c r="L42" s="11"/>
      <c r="M42" s="11"/>
      <c r="N42" s="11"/>
      <c r="O42" s="11" t="s">
        <v>131</v>
      </c>
      <c r="P42" s="14" t="s">
        <v>267</v>
      </c>
      <c r="Q42" s="11" t="s">
        <v>226</v>
      </c>
      <c r="R42" s="14" t="s">
        <v>227</v>
      </c>
      <c r="S42" s="12" t="s">
        <v>134</v>
      </c>
      <c r="T42" s="11" t="s">
        <v>119</v>
      </c>
      <c r="U42" s="11" t="s">
        <v>119</v>
      </c>
      <c r="V42" s="19" t="s">
        <v>120</v>
      </c>
    </row>
    <row r="43" spans="1:22" ht="30" x14ac:dyDescent="0.2">
      <c r="A43" s="11">
        <v>4430582</v>
      </c>
      <c r="B43" s="11" t="s">
        <v>268</v>
      </c>
      <c r="C43" s="11" t="s">
        <v>7</v>
      </c>
      <c r="D43" s="11" t="s">
        <v>15</v>
      </c>
      <c r="E43" s="12" t="s">
        <v>243</v>
      </c>
      <c r="F43" s="14" t="s">
        <v>269</v>
      </c>
      <c r="G43" s="11" t="s">
        <v>154</v>
      </c>
      <c r="H43" s="11"/>
      <c r="I43" s="11"/>
      <c r="J43" s="12" t="s">
        <v>270</v>
      </c>
      <c r="K43" s="11"/>
      <c r="L43" s="15" t="s">
        <v>113</v>
      </c>
      <c r="M43" s="11"/>
      <c r="N43" s="11">
        <v>11</v>
      </c>
      <c r="O43" s="11" t="s">
        <v>114</v>
      </c>
      <c r="P43" s="14"/>
      <c r="Q43" s="11" t="s">
        <v>226</v>
      </c>
      <c r="R43" s="14" t="s">
        <v>271</v>
      </c>
      <c r="S43" s="12" t="s">
        <v>272</v>
      </c>
      <c r="T43" s="11" t="s">
        <v>119</v>
      </c>
      <c r="U43" s="11" t="s">
        <v>119</v>
      </c>
      <c r="V43" s="19" t="s">
        <v>120</v>
      </c>
    </row>
    <row r="44" spans="1:22" ht="30" x14ac:dyDescent="0.2">
      <c r="A44" s="11">
        <v>4357637</v>
      </c>
      <c r="B44" s="11" t="s">
        <v>273</v>
      </c>
      <c r="C44" s="11" t="s">
        <v>8</v>
      </c>
      <c r="D44" s="11" t="s">
        <v>17</v>
      </c>
      <c r="E44" s="12" t="s">
        <v>243</v>
      </c>
      <c r="F44" s="14" t="s">
        <v>249</v>
      </c>
      <c r="G44" s="11" t="s">
        <v>154</v>
      </c>
      <c r="H44" s="11" t="s">
        <v>130</v>
      </c>
      <c r="I44" s="11">
        <v>7</v>
      </c>
      <c r="J44" s="11" t="s">
        <v>113</v>
      </c>
      <c r="K44" s="15" t="s">
        <v>113</v>
      </c>
      <c r="L44" s="11"/>
      <c r="M44" s="11"/>
      <c r="N44" s="11"/>
      <c r="O44" s="11" t="s">
        <v>131</v>
      </c>
      <c r="P44" s="14" t="s">
        <v>274</v>
      </c>
      <c r="Q44" s="11" t="s">
        <v>138</v>
      </c>
      <c r="R44" s="14" t="s">
        <v>212</v>
      </c>
      <c r="S44" s="12" t="s">
        <v>134</v>
      </c>
      <c r="T44" s="11" t="s">
        <v>119</v>
      </c>
      <c r="U44" s="11" t="s">
        <v>119</v>
      </c>
      <c r="V44" s="19" t="s">
        <v>120</v>
      </c>
    </row>
    <row r="45" spans="1:22" ht="30" x14ac:dyDescent="0.2">
      <c r="A45" s="11">
        <v>4389699</v>
      </c>
      <c r="B45" s="11" t="s">
        <v>275</v>
      </c>
      <c r="C45" s="11" t="s">
        <v>8</v>
      </c>
      <c r="D45" s="11" t="s">
        <v>17</v>
      </c>
      <c r="E45" s="12" t="s">
        <v>243</v>
      </c>
      <c r="F45" s="14" t="s">
        <v>276</v>
      </c>
      <c r="G45" s="11" t="s">
        <v>154</v>
      </c>
      <c r="H45" s="11" t="s">
        <v>277</v>
      </c>
      <c r="I45" s="11">
        <v>4</v>
      </c>
      <c r="J45" s="11" t="s">
        <v>113</v>
      </c>
      <c r="K45" s="15" t="s">
        <v>113</v>
      </c>
      <c r="L45" s="11"/>
      <c r="M45" s="11"/>
      <c r="N45" s="11"/>
      <c r="O45" s="11" t="s">
        <v>131</v>
      </c>
      <c r="P45" s="14" t="s">
        <v>278</v>
      </c>
      <c r="Q45" s="11" t="s">
        <v>226</v>
      </c>
      <c r="R45" s="14" t="s">
        <v>227</v>
      </c>
      <c r="S45" s="21" t="s">
        <v>162</v>
      </c>
      <c r="T45" s="11" t="s">
        <v>119</v>
      </c>
      <c r="U45" s="11" t="s">
        <v>119</v>
      </c>
      <c r="V45" s="19" t="s">
        <v>120</v>
      </c>
    </row>
    <row r="46" spans="1:22" ht="45" x14ac:dyDescent="0.2">
      <c r="A46" s="11">
        <v>4382895</v>
      </c>
      <c r="B46" s="11" t="s">
        <v>279</v>
      </c>
      <c r="C46" s="11" t="s">
        <v>8</v>
      </c>
      <c r="D46" s="11" t="s">
        <v>17</v>
      </c>
      <c r="E46" s="12" t="s">
        <v>280</v>
      </c>
      <c r="F46" s="14" t="s">
        <v>281</v>
      </c>
      <c r="G46" s="11" t="s">
        <v>154</v>
      </c>
      <c r="H46" s="11" t="s">
        <v>219</v>
      </c>
      <c r="I46" s="11">
        <v>0</v>
      </c>
      <c r="J46" s="11" t="s">
        <v>113</v>
      </c>
      <c r="K46" s="15" t="s">
        <v>113</v>
      </c>
      <c r="L46" s="11"/>
      <c r="M46" s="11"/>
      <c r="N46" s="11"/>
      <c r="O46" s="11" t="s">
        <v>131</v>
      </c>
      <c r="P46" s="14" t="s">
        <v>282</v>
      </c>
      <c r="Q46" s="11" t="s">
        <v>138</v>
      </c>
      <c r="R46" s="14" t="s">
        <v>126</v>
      </c>
      <c r="S46" s="21" t="s">
        <v>162</v>
      </c>
      <c r="T46" s="11" t="s">
        <v>119</v>
      </c>
      <c r="U46" s="11" t="s">
        <v>119</v>
      </c>
      <c r="V46" s="19" t="s">
        <v>120</v>
      </c>
    </row>
    <row r="47" spans="1:22" ht="30" x14ac:dyDescent="0.2">
      <c r="A47" s="11">
        <v>4383383</v>
      </c>
      <c r="B47" s="11" t="s">
        <v>283</v>
      </c>
      <c r="C47" s="11" t="s">
        <v>9</v>
      </c>
      <c r="D47" s="11" t="s">
        <v>17</v>
      </c>
      <c r="E47" s="12" t="s">
        <v>280</v>
      </c>
      <c r="F47" s="14" t="s">
        <v>284</v>
      </c>
      <c r="G47" s="11" t="s">
        <v>154</v>
      </c>
      <c r="H47" s="11" t="s">
        <v>219</v>
      </c>
      <c r="I47" s="11">
        <v>0</v>
      </c>
      <c r="J47" s="11" t="s">
        <v>113</v>
      </c>
      <c r="K47" s="11"/>
      <c r="L47" s="11"/>
      <c r="M47" s="11"/>
      <c r="N47" s="11"/>
      <c r="O47" s="11" t="s">
        <v>131</v>
      </c>
      <c r="P47" s="14" t="s">
        <v>285</v>
      </c>
      <c r="Q47" s="11" t="s">
        <v>226</v>
      </c>
      <c r="R47" s="14" t="s">
        <v>227</v>
      </c>
      <c r="S47" s="21" t="s">
        <v>162</v>
      </c>
      <c r="T47" s="11" t="s">
        <v>119</v>
      </c>
      <c r="U47" s="11" t="s">
        <v>119</v>
      </c>
      <c r="V47" s="19" t="s">
        <v>120</v>
      </c>
    </row>
    <row r="48" spans="1:22" ht="30" x14ac:dyDescent="0.2">
      <c r="A48" s="11">
        <v>4053797</v>
      </c>
      <c r="B48" s="11" t="s">
        <v>286</v>
      </c>
      <c r="C48" s="11" t="s">
        <v>6</v>
      </c>
      <c r="D48" s="11" t="s">
        <v>18</v>
      </c>
      <c r="E48" s="12" t="s">
        <v>243</v>
      </c>
      <c r="F48" s="14" t="s">
        <v>287</v>
      </c>
      <c r="G48" s="11" t="s">
        <v>154</v>
      </c>
      <c r="H48" s="11" t="s">
        <v>288</v>
      </c>
      <c r="I48" s="11">
        <v>63</v>
      </c>
      <c r="J48" s="11" t="s">
        <v>113</v>
      </c>
      <c r="K48" s="11"/>
      <c r="L48" s="11"/>
      <c r="M48" s="20">
        <v>502680</v>
      </c>
      <c r="N48" s="11">
        <v>10</v>
      </c>
      <c r="O48" s="11" t="s">
        <v>114</v>
      </c>
      <c r="P48" s="14" t="s">
        <v>289</v>
      </c>
      <c r="Q48" s="11" t="s">
        <v>125</v>
      </c>
      <c r="R48" s="14" t="s">
        <v>290</v>
      </c>
      <c r="S48" s="12" t="s">
        <v>127</v>
      </c>
      <c r="T48" s="11" t="s">
        <v>119</v>
      </c>
      <c r="U48" s="11" t="s">
        <v>119</v>
      </c>
      <c r="V48" s="19" t="s">
        <v>120</v>
      </c>
    </row>
    <row r="49" spans="1:22" ht="30" x14ac:dyDescent="0.2">
      <c r="A49" s="11">
        <v>4402374</v>
      </c>
      <c r="B49" s="11" t="s">
        <v>291</v>
      </c>
      <c r="C49" s="11" t="s">
        <v>6</v>
      </c>
      <c r="D49" s="11" t="s">
        <v>17</v>
      </c>
      <c r="E49" s="12" t="s">
        <v>243</v>
      </c>
      <c r="F49" s="14" t="s">
        <v>249</v>
      </c>
      <c r="G49" s="11" t="s">
        <v>154</v>
      </c>
      <c r="H49" s="11" t="s">
        <v>130</v>
      </c>
      <c r="I49" s="11">
        <v>7</v>
      </c>
      <c r="J49" s="11" t="s">
        <v>113</v>
      </c>
      <c r="K49" s="11"/>
      <c r="L49" s="11"/>
      <c r="M49" s="20">
        <v>350000</v>
      </c>
      <c r="N49" s="11">
        <v>15</v>
      </c>
      <c r="O49" s="11" t="s">
        <v>114</v>
      </c>
      <c r="P49" s="14" t="s">
        <v>292</v>
      </c>
      <c r="Q49" s="11" t="s">
        <v>226</v>
      </c>
      <c r="R49" s="14" t="s">
        <v>207</v>
      </c>
      <c r="S49" s="12" t="s">
        <v>134</v>
      </c>
      <c r="T49" s="11" t="s">
        <v>119</v>
      </c>
      <c r="U49" s="11" t="s">
        <v>119</v>
      </c>
      <c r="V49" s="19" t="s">
        <v>120</v>
      </c>
    </row>
    <row r="50" spans="1:22" ht="30" x14ac:dyDescent="0.2">
      <c r="A50" s="11">
        <v>4358959</v>
      </c>
      <c r="B50" s="11" t="s">
        <v>293</v>
      </c>
      <c r="C50" s="11" t="s">
        <v>6</v>
      </c>
      <c r="D50" s="11" t="s">
        <v>17</v>
      </c>
      <c r="E50" s="12" t="s">
        <v>243</v>
      </c>
      <c r="F50" s="14" t="s">
        <v>249</v>
      </c>
      <c r="G50" s="11" t="s">
        <v>154</v>
      </c>
      <c r="H50" s="11" t="s">
        <v>130</v>
      </c>
      <c r="I50" s="11">
        <v>7</v>
      </c>
      <c r="J50" s="11" t="s">
        <v>113</v>
      </c>
      <c r="K50" s="15" t="s">
        <v>113</v>
      </c>
      <c r="L50" s="11"/>
      <c r="M50" s="11"/>
      <c r="N50" s="11"/>
      <c r="O50" s="11" t="s">
        <v>143</v>
      </c>
      <c r="P50" s="14" t="s">
        <v>294</v>
      </c>
      <c r="Q50" s="11" t="s">
        <v>138</v>
      </c>
      <c r="R50" s="14" t="s">
        <v>227</v>
      </c>
      <c r="S50" s="12" t="s">
        <v>134</v>
      </c>
      <c r="T50" s="11" t="s">
        <v>119</v>
      </c>
      <c r="U50" s="11" t="s">
        <v>119</v>
      </c>
      <c r="V50" s="19" t="s">
        <v>120</v>
      </c>
    </row>
    <row r="51" spans="1:22" x14ac:dyDescent="0.2">
      <c r="A51" s="11">
        <v>4437383</v>
      </c>
      <c r="B51" s="11" t="s">
        <v>295</v>
      </c>
      <c r="C51" s="11" t="s">
        <v>8</v>
      </c>
      <c r="D51" s="11" t="s">
        <v>17</v>
      </c>
      <c r="E51" s="18" t="s">
        <v>296</v>
      </c>
      <c r="F51" s="14" t="s">
        <v>297</v>
      </c>
      <c r="G51" s="11" t="s">
        <v>154</v>
      </c>
      <c r="H51" s="11"/>
      <c r="I51" s="11"/>
      <c r="J51" s="12" t="s">
        <v>270</v>
      </c>
      <c r="K51" s="11"/>
      <c r="L51" s="11"/>
      <c r="M51" s="20">
        <v>100000</v>
      </c>
      <c r="N51" s="11"/>
      <c r="O51" s="11" t="s">
        <v>131</v>
      </c>
      <c r="P51" s="14"/>
      <c r="Q51" s="11" t="s">
        <v>226</v>
      </c>
      <c r="R51" s="14" t="s">
        <v>298</v>
      </c>
      <c r="S51" s="12" t="s">
        <v>272</v>
      </c>
      <c r="T51" s="11" t="s">
        <v>119</v>
      </c>
      <c r="U51" s="11" t="s">
        <v>119</v>
      </c>
      <c r="V51" s="19" t="s">
        <v>120</v>
      </c>
    </row>
    <row r="52" spans="1:22" x14ac:dyDescent="0.2">
      <c r="A52" s="11">
        <v>4447083</v>
      </c>
      <c r="B52" s="11" t="s">
        <v>299</v>
      </c>
      <c r="C52" s="11" t="s">
        <v>10</v>
      </c>
      <c r="D52" s="11" t="s">
        <v>15</v>
      </c>
      <c r="E52" s="18" t="s">
        <v>296</v>
      </c>
      <c r="F52" s="14" t="s">
        <v>297</v>
      </c>
      <c r="G52" s="11" t="s">
        <v>154</v>
      </c>
      <c r="H52" s="11" t="s">
        <v>219</v>
      </c>
      <c r="I52" s="11">
        <v>0</v>
      </c>
      <c r="J52" s="11" t="s">
        <v>113</v>
      </c>
      <c r="K52" s="15" t="s">
        <v>113</v>
      </c>
      <c r="L52" s="15" t="s">
        <v>113</v>
      </c>
      <c r="M52" s="20">
        <v>1234</v>
      </c>
      <c r="N52" s="11"/>
      <c r="O52" s="11" t="s">
        <v>300</v>
      </c>
      <c r="P52" s="14" t="s">
        <v>301</v>
      </c>
      <c r="Q52" s="11" t="s">
        <v>226</v>
      </c>
      <c r="R52" s="14" t="s">
        <v>302</v>
      </c>
      <c r="S52" s="21" t="s">
        <v>162</v>
      </c>
      <c r="T52" s="11" t="s">
        <v>119</v>
      </c>
      <c r="U52" s="11" t="s">
        <v>119</v>
      </c>
      <c r="V52" s="19" t="s">
        <v>120</v>
      </c>
    </row>
    <row r="53" spans="1:22" x14ac:dyDescent="0.2">
      <c r="A53" s="11">
        <v>4446933</v>
      </c>
      <c r="B53" s="11" t="s">
        <v>299</v>
      </c>
      <c r="C53" s="11" t="s">
        <v>10</v>
      </c>
      <c r="D53" s="11" t="s">
        <v>15</v>
      </c>
      <c r="E53" s="18" t="s">
        <v>296</v>
      </c>
      <c r="F53" s="14" t="s">
        <v>297</v>
      </c>
      <c r="G53" s="11" t="s">
        <v>154</v>
      </c>
      <c r="H53" s="11"/>
      <c r="I53" s="11"/>
      <c r="J53" s="12" t="s">
        <v>270</v>
      </c>
      <c r="K53" s="15" t="s">
        <v>113</v>
      </c>
      <c r="L53" s="15" t="s">
        <v>113</v>
      </c>
      <c r="M53" s="20">
        <v>1234</v>
      </c>
      <c r="N53" s="11"/>
      <c r="O53" s="11" t="s">
        <v>300</v>
      </c>
      <c r="P53" s="14"/>
      <c r="Q53" s="11" t="s">
        <v>226</v>
      </c>
      <c r="R53" s="14" t="s">
        <v>302</v>
      </c>
      <c r="S53" s="12" t="s">
        <v>272</v>
      </c>
      <c r="T53" s="11" t="s">
        <v>119</v>
      </c>
      <c r="U53" s="11" t="s">
        <v>119</v>
      </c>
      <c r="V53" s="19" t="s">
        <v>120</v>
      </c>
    </row>
    <row r="54" spans="1:22" x14ac:dyDescent="0.2">
      <c r="A54" s="11">
        <v>4446930</v>
      </c>
      <c r="B54" s="11" t="s">
        <v>299</v>
      </c>
      <c r="C54" s="11" t="s">
        <v>10</v>
      </c>
      <c r="D54" s="11" t="s">
        <v>15</v>
      </c>
      <c r="E54" s="18" t="s">
        <v>296</v>
      </c>
      <c r="F54" s="14" t="s">
        <v>297</v>
      </c>
      <c r="G54" s="11" t="s">
        <v>154</v>
      </c>
      <c r="H54" s="11"/>
      <c r="I54" s="11"/>
      <c r="J54" s="12" t="s">
        <v>270</v>
      </c>
      <c r="K54" s="15" t="s">
        <v>113</v>
      </c>
      <c r="L54" s="15" t="s">
        <v>113</v>
      </c>
      <c r="M54" s="20">
        <v>1234</v>
      </c>
      <c r="N54" s="11"/>
      <c r="O54" s="11" t="s">
        <v>300</v>
      </c>
      <c r="P54" s="14"/>
      <c r="Q54" s="11" t="s">
        <v>226</v>
      </c>
      <c r="R54" s="14" t="s">
        <v>302</v>
      </c>
      <c r="S54" s="12" t="s">
        <v>272</v>
      </c>
      <c r="T54" s="11" t="s">
        <v>119</v>
      </c>
      <c r="U54" s="11" t="s">
        <v>119</v>
      </c>
      <c r="V54" s="19" t="s">
        <v>120</v>
      </c>
    </row>
    <row r="55" spans="1:22" x14ac:dyDescent="0.2">
      <c r="A55" s="11">
        <v>4446926</v>
      </c>
      <c r="B55" s="11" t="s">
        <v>299</v>
      </c>
      <c r="C55" s="11" t="s">
        <v>10</v>
      </c>
      <c r="D55" s="11" t="s">
        <v>15</v>
      </c>
      <c r="E55" s="18" t="s">
        <v>296</v>
      </c>
      <c r="F55" s="14" t="s">
        <v>297</v>
      </c>
      <c r="G55" s="11" t="s">
        <v>154</v>
      </c>
      <c r="H55" s="11"/>
      <c r="I55" s="11"/>
      <c r="J55" s="12" t="s">
        <v>270</v>
      </c>
      <c r="K55" s="15" t="s">
        <v>113</v>
      </c>
      <c r="L55" s="15" t="s">
        <v>113</v>
      </c>
      <c r="M55" s="20">
        <v>1234</v>
      </c>
      <c r="N55" s="11"/>
      <c r="O55" s="11" t="s">
        <v>300</v>
      </c>
      <c r="P55" s="14"/>
      <c r="Q55" s="11" t="s">
        <v>226</v>
      </c>
      <c r="R55" s="14" t="s">
        <v>302</v>
      </c>
      <c r="S55" s="12" t="s">
        <v>272</v>
      </c>
      <c r="T55" s="11" t="s">
        <v>119</v>
      </c>
      <c r="U55" s="11" t="s">
        <v>119</v>
      </c>
      <c r="V55" s="19" t="s">
        <v>120</v>
      </c>
    </row>
    <row r="56" spans="1:22" ht="30" x14ac:dyDescent="0.2">
      <c r="A56" s="11">
        <v>4438366</v>
      </c>
      <c r="B56" s="11" t="s">
        <v>303</v>
      </c>
      <c r="C56" s="11" t="s">
        <v>9</v>
      </c>
      <c r="D56" s="11" t="s">
        <v>15</v>
      </c>
      <c r="E56" s="18" t="s">
        <v>296</v>
      </c>
      <c r="F56" s="14" t="s">
        <v>297</v>
      </c>
      <c r="G56" s="11" t="s">
        <v>154</v>
      </c>
      <c r="H56" s="11" t="s">
        <v>160</v>
      </c>
      <c r="I56" s="11">
        <v>3</v>
      </c>
      <c r="J56" s="11" t="s">
        <v>113</v>
      </c>
      <c r="K56" s="11"/>
      <c r="L56" s="11"/>
      <c r="M56" s="11"/>
      <c r="N56" s="11">
        <v>50</v>
      </c>
      <c r="O56" s="11" t="s">
        <v>304</v>
      </c>
      <c r="P56" s="14" t="s">
        <v>305</v>
      </c>
      <c r="Q56" s="11" t="s">
        <v>226</v>
      </c>
      <c r="R56" s="14" t="s">
        <v>306</v>
      </c>
      <c r="S56" s="21" t="s">
        <v>162</v>
      </c>
      <c r="T56" s="11" t="s">
        <v>119</v>
      </c>
      <c r="U56" s="11" t="s">
        <v>119</v>
      </c>
      <c r="V56" s="19" t="s">
        <v>120</v>
      </c>
    </row>
    <row r="57" spans="1:22" x14ac:dyDescent="0.2">
      <c r="A57" s="11">
        <v>4446753</v>
      </c>
      <c r="B57" s="11" t="s">
        <v>307</v>
      </c>
      <c r="C57" s="11" t="s">
        <v>6</v>
      </c>
      <c r="D57" s="11" t="s">
        <v>15</v>
      </c>
      <c r="E57" s="18" t="s">
        <v>296</v>
      </c>
      <c r="F57" s="14" t="s">
        <v>297</v>
      </c>
      <c r="G57" s="11" t="s">
        <v>154</v>
      </c>
      <c r="H57" s="11"/>
      <c r="I57" s="11"/>
      <c r="J57" s="12" t="s">
        <v>270</v>
      </c>
      <c r="K57" s="11"/>
      <c r="L57" s="11"/>
      <c r="M57" s="20">
        <v>500000</v>
      </c>
      <c r="N57" s="11">
        <v>10</v>
      </c>
      <c r="O57" s="11" t="s">
        <v>156</v>
      </c>
      <c r="P57" s="14"/>
      <c r="Q57" s="11" t="s">
        <v>226</v>
      </c>
      <c r="R57" s="14" t="s">
        <v>298</v>
      </c>
      <c r="S57" s="12" t="s">
        <v>272</v>
      </c>
      <c r="T57" s="11" t="s">
        <v>119</v>
      </c>
      <c r="U57" s="11" t="s">
        <v>119</v>
      </c>
      <c r="V57" s="19" t="s">
        <v>120</v>
      </c>
    </row>
    <row r="58" spans="1:22" x14ac:dyDescent="0.2">
      <c r="A58" s="11">
        <v>4435090</v>
      </c>
      <c r="B58" s="11" t="s">
        <v>308</v>
      </c>
      <c r="C58" s="11" t="s">
        <v>6</v>
      </c>
      <c r="D58" s="11" t="s">
        <v>17</v>
      </c>
      <c r="E58" s="18" t="s">
        <v>296</v>
      </c>
      <c r="F58" s="14" t="s">
        <v>297</v>
      </c>
      <c r="G58" s="11" t="s">
        <v>154</v>
      </c>
      <c r="H58" s="11" t="s">
        <v>160</v>
      </c>
      <c r="I58" s="11">
        <v>3</v>
      </c>
      <c r="J58" s="11" t="s">
        <v>113</v>
      </c>
      <c r="K58" s="11"/>
      <c r="L58" s="11"/>
      <c r="M58" s="20">
        <v>200000</v>
      </c>
      <c r="N58" s="11">
        <v>10</v>
      </c>
      <c r="O58" s="11" t="s">
        <v>143</v>
      </c>
      <c r="P58" s="14" t="s">
        <v>309</v>
      </c>
      <c r="Q58" s="11" t="s">
        <v>226</v>
      </c>
      <c r="R58" s="14" t="s">
        <v>298</v>
      </c>
      <c r="S58" s="21" t="s">
        <v>162</v>
      </c>
      <c r="T58" s="11" t="s">
        <v>119</v>
      </c>
      <c r="U58" s="11" t="s">
        <v>119</v>
      </c>
      <c r="V58" s="19" t="s">
        <v>120</v>
      </c>
    </row>
    <row r="59" spans="1:22" ht="30" x14ac:dyDescent="0.2">
      <c r="A59" s="11">
        <v>4411978</v>
      </c>
      <c r="B59" s="11" t="s">
        <v>310</v>
      </c>
      <c r="C59" s="11" t="s">
        <v>8</v>
      </c>
      <c r="D59" s="11" t="s">
        <v>17</v>
      </c>
      <c r="E59" s="21" t="s">
        <v>311</v>
      </c>
      <c r="F59" s="14" t="s">
        <v>312</v>
      </c>
      <c r="G59" s="18" t="s">
        <v>111</v>
      </c>
      <c r="H59" s="11" t="s">
        <v>245</v>
      </c>
      <c r="I59" s="11">
        <v>6</v>
      </c>
      <c r="J59" s="11" t="s">
        <v>113</v>
      </c>
      <c r="K59" s="11"/>
      <c r="L59" s="11"/>
      <c r="M59" s="20">
        <v>66316</v>
      </c>
      <c r="N59" s="11">
        <v>7</v>
      </c>
      <c r="O59" s="11" t="s">
        <v>131</v>
      </c>
      <c r="P59" s="14" t="s">
        <v>313</v>
      </c>
      <c r="Q59" s="11" t="s">
        <v>226</v>
      </c>
      <c r="R59" s="14" t="s">
        <v>314</v>
      </c>
      <c r="S59" s="12" t="s">
        <v>134</v>
      </c>
      <c r="T59" s="11" t="s">
        <v>119</v>
      </c>
      <c r="U59" s="11" t="s">
        <v>119</v>
      </c>
      <c r="V59" s="19" t="s">
        <v>120</v>
      </c>
    </row>
    <row r="60" spans="1:22" ht="30" x14ac:dyDescent="0.2">
      <c r="A60" s="11">
        <v>4335774</v>
      </c>
      <c r="B60" s="11" t="s">
        <v>315</v>
      </c>
      <c r="C60" s="11" t="s">
        <v>8</v>
      </c>
      <c r="D60" s="11" t="s">
        <v>17</v>
      </c>
      <c r="E60" s="21" t="s">
        <v>311</v>
      </c>
      <c r="F60" s="14" t="s">
        <v>316</v>
      </c>
      <c r="G60" s="11" t="s">
        <v>154</v>
      </c>
      <c r="H60" s="11" t="s">
        <v>219</v>
      </c>
      <c r="I60" s="11">
        <v>0</v>
      </c>
      <c r="J60" s="11" t="s">
        <v>113</v>
      </c>
      <c r="K60" s="15" t="s">
        <v>113</v>
      </c>
      <c r="L60" s="11"/>
      <c r="M60" s="11"/>
      <c r="N60" s="11">
        <v>2</v>
      </c>
      <c r="O60" s="11" t="s">
        <v>131</v>
      </c>
      <c r="P60" s="14" t="s">
        <v>317</v>
      </c>
      <c r="Q60" s="11" t="s">
        <v>138</v>
      </c>
      <c r="R60" s="14" t="s">
        <v>318</v>
      </c>
      <c r="S60" s="21" t="s">
        <v>162</v>
      </c>
      <c r="T60" s="11" t="s">
        <v>119</v>
      </c>
      <c r="U60" s="11" t="s">
        <v>119</v>
      </c>
      <c r="V60" s="19" t="s">
        <v>120</v>
      </c>
    </row>
    <row r="61" spans="1:22" ht="30" x14ac:dyDescent="0.2">
      <c r="A61" s="11">
        <v>4375201</v>
      </c>
      <c r="B61" s="11" t="s">
        <v>319</v>
      </c>
      <c r="C61" s="11" t="s">
        <v>9</v>
      </c>
      <c r="D61" s="11" t="s">
        <v>17</v>
      </c>
      <c r="E61" s="21" t="s">
        <v>311</v>
      </c>
      <c r="F61" s="14" t="s">
        <v>320</v>
      </c>
      <c r="G61" s="11" t="s">
        <v>154</v>
      </c>
      <c r="H61" s="11" t="s">
        <v>219</v>
      </c>
      <c r="I61" s="11">
        <v>0</v>
      </c>
      <c r="J61" s="11" t="s">
        <v>113</v>
      </c>
      <c r="K61" s="11"/>
      <c r="L61" s="11"/>
      <c r="M61" s="11"/>
      <c r="N61" s="11"/>
      <c r="O61" s="11" t="s">
        <v>143</v>
      </c>
      <c r="P61" s="14" t="s">
        <v>321</v>
      </c>
      <c r="Q61" s="11" t="s">
        <v>138</v>
      </c>
      <c r="R61" s="14" t="s">
        <v>227</v>
      </c>
      <c r="S61" s="21" t="s">
        <v>162</v>
      </c>
      <c r="T61" s="11" t="s">
        <v>119</v>
      </c>
      <c r="U61" s="11" t="s">
        <v>119</v>
      </c>
      <c r="V61" s="19" t="s">
        <v>120</v>
      </c>
    </row>
    <row r="62" spans="1:22" ht="30" x14ac:dyDescent="0.2">
      <c r="A62" s="11">
        <v>4415503</v>
      </c>
      <c r="B62" s="11" t="s">
        <v>322</v>
      </c>
      <c r="C62" s="11" t="s">
        <v>9</v>
      </c>
      <c r="D62" s="11" t="s">
        <v>17</v>
      </c>
      <c r="E62" s="21" t="s">
        <v>311</v>
      </c>
      <c r="F62" s="14" t="s">
        <v>323</v>
      </c>
      <c r="G62" s="11" t="s">
        <v>154</v>
      </c>
      <c r="H62" s="11" t="s">
        <v>324</v>
      </c>
      <c r="I62" s="11">
        <v>1</v>
      </c>
      <c r="J62" s="11" t="s">
        <v>113</v>
      </c>
      <c r="K62" s="11"/>
      <c r="L62" s="11"/>
      <c r="M62" s="11"/>
      <c r="N62" s="11">
        <v>7</v>
      </c>
      <c r="O62" s="11" t="s">
        <v>143</v>
      </c>
      <c r="P62" s="14" t="s">
        <v>325</v>
      </c>
      <c r="Q62" s="11" t="s">
        <v>226</v>
      </c>
      <c r="R62" s="14" t="s">
        <v>326</v>
      </c>
      <c r="S62" s="21" t="s">
        <v>162</v>
      </c>
      <c r="T62" s="11" t="s">
        <v>119</v>
      </c>
      <c r="U62" s="11" t="s">
        <v>119</v>
      </c>
      <c r="V62" s="19" t="s">
        <v>120</v>
      </c>
    </row>
    <row r="63" spans="1:22" ht="30" x14ac:dyDescent="0.2">
      <c r="A63" s="11">
        <v>4348936</v>
      </c>
      <c r="B63" s="11" t="s">
        <v>327</v>
      </c>
      <c r="C63" s="11" t="s">
        <v>6</v>
      </c>
      <c r="D63" s="11" t="s">
        <v>17</v>
      </c>
      <c r="E63" s="21" t="s">
        <v>311</v>
      </c>
      <c r="F63" s="14" t="s">
        <v>328</v>
      </c>
      <c r="G63" s="11" t="s">
        <v>154</v>
      </c>
      <c r="H63" s="11" t="s">
        <v>219</v>
      </c>
      <c r="I63" s="11">
        <v>0</v>
      </c>
      <c r="J63" s="11" t="s">
        <v>113</v>
      </c>
      <c r="K63" s="11"/>
      <c r="L63" s="11"/>
      <c r="M63" s="11"/>
      <c r="N63" s="11"/>
      <c r="O63" s="11" t="s">
        <v>131</v>
      </c>
      <c r="P63" s="14" t="s">
        <v>329</v>
      </c>
      <c r="Q63" s="11" t="s">
        <v>138</v>
      </c>
      <c r="R63" s="14" t="s">
        <v>227</v>
      </c>
      <c r="S63" s="21" t="s">
        <v>162</v>
      </c>
      <c r="T63" s="11" t="s">
        <v>119</v>
      </c>
      <c r="U63" s="11" t="s">
        <v>119</v>
      </c>
      <c r="V63" s="19" t="s">
        <v>120</v>
      </c>
    </row>
    <row r="64" spans="1:22" ht="30" x14ac:dyDescent="0.2">
      <c r="A64" s="11">
        <v>4241966</v>
      </c>
      <c r="B64" s="11" t="s">
        <v>330</v>
      </c>
      <c r="C64" s="11" t="s">
        <v>6</v>
      </c>
      <c r="D64" s="11" t="s">
        <v>18</v>
      </c>
      <c r="E64" s="21" t="s">
        <v>311</v>
      </c>
      <c r="F64" s="14" t="s">
        <v>331</v>
      </c>
      <c r="G64" s="11" t="s">
        <v>154</v>
      </c>
      <c r="H64" s="11" t="s">
        <v>160</v>
      </c>
      <c r="I64" s="11">
        <v>3</v>
      </c>
      <c r="J64" s="11" t="s">
        <v>113</v>
      </c>
      <c r="K64" s="15" t="s">
        <v>113</v>
      </c>
      <c r="L64" s="11"/>
      <c r="M64" s="11"/>
      <c r="N64" s="11"/>
      <c r="O64" s="11" t="s">
        <v>131</v>
      </c>
      <c r="P64" s="14" t="s">
        <v>332</v>
      </c>
      <c r="Q64" s="11" t="s">
        <v>116</v>
      </c>
      <c r="R64" s="14" t="s">
        <v>234</v>
      </c>
      <c r="S64" s="21" t="s">
        <v>162</v>
      </c>
      <c r="T64" s="11" t="s">
        <v>119</v>
      </c>
      <c r="U64" s="11" t="s">
        <v>119</v>
      </c>
      <c r="V64" s="19" t="s">
        <v>120</v>
      </c>
    </row>
    <row r="65" spans="1:22" ht="30" x14ac:dyDescent="0.2">
      <c r="A65" s="11">
        <v>4402389</v>
      </c>
      <c r="B65" s="11" t="s">
        <v>333</v>
      </c>
      <c r="C65" s="11" t="s">
        <v>6</v>
      </c>
      <c r="D65" s="11" t="s">
        <v>17</v>
      </c>
      <c r="E65" s="21" t="s">
        <v>311</v>
      </c>
      <c r="F65" s="14" t="s">
        <v>334</v>
      </c>
      <c r="G65" s="11" t="s">
        <v>154</v>
      </c>
      <c r="H65" s="11" t="s">
        <v>219</v>
      </c>
      <c r="I65" s="11">
        <v>0</v>
      </c>
      <c r="J65" s="11" t="s">
        <v>113</v>
      </c>
      <c r="K65" s="11"/>
      <c r="L65" s="11"/>
      <c r="M65" s="20">
        <v>495600</v>
      </c>
      <c r="N65" s="11">
        <v>4</v>
      </c>
      <c r="O65" s="11" t="s">
        <v>131</v>
      </c>
      <c r="P65" s="14" t="s">
        <v>335</v>
      </c>
      <c r="Q65" s="11" t="s">
        <v>226</v>
      </c>
      <c r="R65" s="14" t="s">
        <v>207</v>
      </c>
      <c r="S65" s="21" t="s">
        <v>162</v>
      </c>
      <c r="T65" s="11" t="s">
        <v>119</v>
      </c>
      <c r="U65" s="11" t="s">
        <v>119</v>
      </c>
      <c r="V65" s="19" t="s">
        <v>120</v>
      </c>
    </row>
    <row r="66" spans="1:22" ht="30" x14ac:dyDescent="0.2">
      <c r="A66" s="11">
        <v>4197691</v>
      </c>
      <c r="B66" s="11" t="s">
        <v>336</v>
      </c>
      <c r="C66" s="11" t="s">
        <v>6</v>
      </c>
      <c r="D66" s="11" t="s">
        <v>19</v>
      </c>
      <c r="E66" s="21" t="s">
        <v>311</v>
      </c>
      <c r="F66" s="14" t="s">
        <v>337</v>
      </c>
      <c r="G66" s="11" t="s">
        <v>154</v>
      </c>
      <c r="H66" s="11" t="s">
        <v>205</v>
      </c>
      <c r="I66" s="11">
        <v>10</v>
      </c>
      <c r="J66" s="11" t="s">
        <v>113</v>
      </c>
      <c r="K66" s="15" t="s">
        <v>113</v>
      </c>
      <c r="L66" s="15" t="s">
        <v>113</v>
      </c>
      <c r="M66" s="11"/>
      <c r="N66" s="11"/>
      <c r="O66" s="11" t="s">
        <v>114</v>
      </c>
      <c r="P66" s="14" t="s">
        <v>338</v>
      </c>
      <c r="Q66" s="11" t="s">
        <v>125</v>
      </c>
      <c r="R66" s="14" t="s">
        <v>339</v>
      </c>
      <c r="S66" s="12" t="s">
        <v>134</v>
      </c>
      <c r="T66" s="11" t="s">
        <v>119</v>
      </c>
      <c r="U66" s="11" t="s">
        <v>119</v>
      </c>
      <c r="V66" s="19" t="s">
        <v>120</v>
      </c>
    </row>
    <row r="67" spans="1:22" ht="45" x14ac:dyDescent="0.2">
      <c r="A67" s="11">
        <v>4204921</v>
      </c>
      <c r="B67" s="11" t="s">
        <v>340</v>
      </c>
      <c r="C67" s="11" t="s">
        <v>6</v>
      </c>
      <c r="D67" s="11" t="s">
        <v>19</v>
      </c>
      <c r="E67" s="21" t="s">
        <v>311</v>
      </c>
      <c r="F67" s="14" t="s">
        <v>341</v>
      </c>
      <c r="G67" s="11" t="s">
        <v>154</v>
      </c>
      <c r="H67" s="11" t="s">
        <v>342</v>
      </c>
      <c r="I67" s="11">
        <v>42</v>
      </c>
      <c r="J67" s="11" t="s">
        <v>113</v>
      </c>
      <c r="K67" s="15" t="s">
        <v>113</v>
      </c>
      <c r="L67" s="11"/>
      <c r="M67" s="11"/>
      <c r="N67" s="11"/>
      <c r="O67" s="11" t="s">
        <v>156</v>
      </c>
      <c r="P67" s="14" t="s">
        <v>343</v>
      </c>
      <c r="Q67" s="11" t="s">
        <v>125</v>
      </c>
      <c r="R67" s="14" t="s">
        <v>133</v>
      </c>
      <c r="S67" s="12" t="s">
        <v>127</v>
      </c>
      <c r="T67" s="11" t="s">
        <v>119</v>
      </c>
      <c r="U67" s="11" t="s">
        <v>119</v>
      </c>
      <c r="V67" s="19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showGridLines="0" zoomScaleNormal="100" workbookViewId="0">
      <selection activeCell="G8" sqref="G8"/>
    </sheetView>
  </sheetViews>
  <sheetFormatPr baseColWidth="10" defaultColWidth="8.6640625" defaultRowHeight="15" x14ac:dyDescent="0.2"/>
  <cols>
    <col min="1" max="1" width="34" customWidth="1"/>
    <col min="2" max="2" width="19" customWidth="1"/>
    <col min="3" max="3" width="21" customWidth="1"/>
    <col min="4" max="4" width="13" customWidth="1"/>
    <col min="5" max="6" width="15" customWidth="1"/>
    <col min="7" max="7" width="66" customWidth="1"/>
  </cols>
  <sheetData>
    <row r="1" spans="1:7" ht="20" x14ac:dyDescent="0.25">
      <c r="A1" s="4" t="s">
        <v>344</v>
      </c>
    </row>
    <row r="3" spans="1:7" x14ac:dyDescent="0.2">
      <c r="A3" s="6" t="s">
        <v>345</v>
      </c>
    </row>
    <row r="4" spans="1:7" x14ac:dyDescent="0.2">
      <c r="A4" s="10" t="s">
        <v>346</v>
      </c>
      <c r="B4" s="10" t="s">
        <v>69</v>
      </c>
      <c r="C4" s="10" t="s">
        <v>91</v>
      </c>
      <c r="D4" s="10" t="s">
        <v>98</v>
      </c>
      <c r="E4" s="10" t="s">
        <v>99</v>
      </c>
      <c r="F4" s="10" t="s">
        <v>100</v>
      </c>
      <c r="G4" s="10" t="s">
        <v>347</v>
      </c>
    </row>
    <row r="5" spans="1:7" ht="30" x14ac:dyDescent="0.2">
      <c r="A5" s="21" t="s">
        <v>167</v>
      </c>
      <c r="B5" s="11" t="s">
        <v>10</v>
      </c>
      <c r="C5" s="11" t="s">
        <v>18</v>
      </c>
      <c r="D5" s="20">
        <v>944000</v>
      </c>
      <c r="E5" s="11">
        <v>50</v>
      </c>
      <c r="F5" s="11" t="s">
        <v>156</v>
      </c>
      <c r="G5" s="14" t="s">
        <v>170</v>
      </c>
    </row>
    <row r="6" spans="1:7" x14ac:dyDescent="0.2">
      <c r="A6" s="21" t="s">
        <v>286</v>
      </c>
      <c r="B6" s="11" t="s">
        <v>6</v>
      </c>
      <c r="C6" s="11" t="s">
        <v>18</v>
      </c>
      <c r="D6" s="20">
        <v>502680</v>
      </c>
      <c r="E6" s="11">
        <v>10</v>
      </c>
      <c r="F6" s="11" t="s">
        <v>114</v>
      </c>
      <c r="G6" s="14" t="s">
        <v>289</v>
      </c>
    </row>
    <row r="7" spans="1:7" x14ac:dyDescent="0.2">
      <c r="A7" s="21" t="s">
        <v>307</v>
      </c>
      <c r="B7" s="11" t="s">
        <v>6</v>
      </c>
      <c r="C7" s="11" t="s">
        <v>15</v>
      </c>
      <c r="D7" s="20">
        <v>500000</v>
      </c>
      <c r="E7" s="11">
        <v>10</v>
      </c>
      <c r="F7" s="11" t="s">
        <v>156</v>
      </c>
      <c r="G7" s="14"/>
    </row>
    <row r="8" spans="1:7" ht="30" x14ac:dyDescent="0.2">
      <c r="A8" s="21" t="s">
        <v>333</v>
      </c>
      <c r="B8" s="11" t="s">
        <v>6</v>
      </c>
      <c r="C8" s="11" t="s">
        <v>17</v>
      </c>
      <c r="D8" s="20">
        <v>495600</v>
      </c>
      <c r="E8" s="11">
        <v>4</v>
      </c>
      <c r="F8" s="11" t="s">
        <v>131</v>
      </c>
      <c r="G8" s="14" t="s">
        <v>335</v>
      </c>
    </row>
    <row r="9" spans="1:7" ht="30" x14ac:dyDescent="0.2">
      <c r="A9" s="21" t="s">
        <v>291</v>
      </c>
      <c r="B9" s="11" t="s">
        <v>6</v>
      </c>
      <c r="C9" s="11" t="s">
        <v>17</v>
      </c>
      <c r="D9" s="20">
        <v>350000</v>
      </c>
      <c r="E9" s="11">
        <v>15</v>
      </c>
      <c r="F9" s="11" t="s">
        <v>114</v>
      </c>
      <c r="G9" s="14" t="s">
        <v>292</v>
      </c>
    </row>
    <row r="10" spans="1:7" x14ac:dyDescent="0.2">
      <c r="A10" s="21" t="s">
        <v>259</v>
      </c>
      <c r="B10" s="11" t="s">
        <v>10</v>
      </c>
      <c r="C10" s="11" t="s">
        <v>17</v>
      </c>
      <c r="D10" s="11"/>
      <c r="E10" s="11">
        <v>150</v>
      </c>
      <c r="F10" s="11" t="s">
        <v>156</v>
      </c>
      <c r="G10" s="14" t="s">
        <v>260</v>
      </c>
    </row>
    <row r="11" spans="1:7" x14ac:dyDescent="0.2">
      <c r="A11" s="21" t="s">
        <v>303</v>
      </c>
      <c r="B11" s="11" t="s">
        <v>9</v>
      </c>
      <c r="C11" s="11" t="s">
        <v>15</v>
      </c>
      <c r="D11" s="11"/>
      <c r="E11" s="11">
        <v>50</v>
      </c>
      <c r="F11" s="11" t="s">
        <v>304</v>
      </c>
      <c r="G11" s="14" t="s">
        <v>305</v>
      </c>
    </row>
    <row r="13" spans="1:7" x14ac:dyDescent="0.2">
      <c r="A13" s="6" t="s">
        <v>348</v>
      </c>
    </row>
    <row r="14" spans="1:7" x14ac:dyDescent="0.2">
      <c r="A14" s="10" t="s">
        <v>346</v>
      </c>
      <c r="B14" s="10" t="s">
        <v>69</v>
      </c>
      <c r="C14" s="10" t="s">
        <v>91</v>
      </c>
      <c r="D14" s="10" t="s">
        <v>349</v>
      </c>
      <c r="E14" s="10" t="s">
        <v>350</v>
      </c>
      <c r="F14" s="10" t="s">
        <v>347</v>
      </c>
    </row>
    <row r="15" spans="1:7" ht="90" x14ac:dyDescent="0.2">
      <c r="A15" s="11" t="s">
        <v>203</v>
      </c>
      <c r="B15" s="11" t="s">
        <v>9</v>
      </c>
      <c r="C15" s="11" t="s">
        <v>17</v>
      </c>
      <c r="D15" s="11" t="s">
        <v>205</v>
      </c>
      <c r="E15" s="15" t="s">
        <v>111</v>
      </c>
      <c r="F15" s="14" t="s">
        <v>206</v>
      </c>
    </row>
    <row r="16" spans="1:7" ht="120" x14ac:dyDescent="0.2">
      <c r="A16" s="11" t="s">
        <v>213</v>
      </c>
      <c r="B16" s="11" t="s">
        <v>8</v>
      </c>
      <c r="C16" s="11" t="s">
        <v>17</v>
      </c>
      <c r="D16" s="11" t="s">
        <v>205</v>
      </c>
      <c r="E16" s="15" t="s">
        <v>154</v>
      </c>
      <c r="F16" s="14" t="s">
        <v>214</v>
      </c>
    </row>
    <row r="17" spans="1:7" ht="120" x14ac:dyDescent="0.2">
      <c r="A17" s="11" t="s">
        <v>315</v>
      </c>
      <c r="B17" s="11" t="s">
        <v>8</v>
      </c>
      <c r="C17" s="11" t="s">
        <v>17</v>
      </c>
      <c r="D17" s="11" t="s">
        <v>219</v>
      </c>
      <c r="E17" s="15" t="s">
        <v>154</v>
      </c>
      <c r="F17" s="14" t="s">
        <v>317</v>
      </c>
    </row>
    <row r="18" spans="1:7" ht="45" x14ac:dyDescent="0.2">
      <c r="A18" s="11" t="s">
        <v>279</v>
      </c>
      <c r="B18" s="11" t="s">
        <v>8</v>
      </c>
      <c r="C18" s="11" t="s">
        <v>17</v>
      </c>
      <c r="D18" s="11" t="s">
        <v>219</v>
      </c>
      <c r="E18" s="15" t="s">
        <v>154</v>
      </c>
      <c r="F18" s="14" t="s">
        <v>282</v>
      </c>
    </row>
    <row r="20" spans="1:7" x14ac:dyDescent="0.2">
      <c r="A20" s="6" t="s">
        <v>351</v>
      </c>
    </row>
    <row r="21" spans="1:7" x14ac:dyDescent="0.2">
      <c r="A21" s="10" t="s">
        <v>346</v>
      </c>
      <c r="B21" s="10" t="s">
        <v>69</v>
      </c>
      <c r="C21" s="10" t="s">
        <v>91</v>
      </c>
      <c r="D21" s="10" t="s">
        <v>98</v>
      </c>
      <c r="E21" s="10" t="s">
        <v>352</v>
      </c>
      <c r="F21" s="10" t="s">
        <v>74</v>
      </c>
      <c r="G21" s="10" t="s">
        <v>347</v>
      </c>
    </row>
    <row r="22" spans="1:7" x14ac:dyDescent="0.2">
      <c r="A22" s="11" t="s">
        <v>299</v>
      </c>
      <c r="B22" s="11" t="s">
        <v>10</v>
      </c>
      <c r="C22" s="11" t="s">
        <v>15</v>
      </c>
      <c r="D22" s="20">
        <v>1234</v>
      </c>
      <c r="E22" s="15" t="s">
        <v>353</v>
      </c>
      <c r="F22" s="11" t="s">
        <v>113</v>
      </c>
      <c r="G22" s="14" t="s">
        <v>301</v>
      </c>
    </row>
    <row r="23" spans="1:7" x14ac:dyDescent="0.2">
      <c r="A23" s="11" t="s">
        <v>299</v>
      </c>
      <c r="B23" s="11" t="s">
        <v>10</v>
      </c>
      <c r="C23" s="11" t="s">
        <v>15</v>
      </c>
      <c r="D23" s="20">
        <v>1234</v>
      </c>
      <c r="E23" s="15" t="s">
        <v>353</v>
      </c>
      <c r="F23" s="11" t="s">
        <v>113</v>
      </c>
      <c r="G23" s="14"/>
    </row>
    <row r="24" spans="1:7" x14ac:dyDescent="0.2">
      <c r="A24" s="11" t="s">
        <v>299</v>
      </c>
      <c r="B24" s="11" t="s">
        <v>10</v>
      </c>
      <c r="C24" s="11" t="s">
        <v>15</v>
      </c>
      <c r="D24" s="20">
        <v>1234</v>
      </c>
      <c r="E24" s="15" t="s">
        <v>353</v>
      </c>
      <c r="F24" s="11" t="s">
        <v>113</v>
      </c>
      <c r="G24" s="14"/>
    </row>
    <row r="25" spans="1:7" x14ac:dyDescent="0.2">
      <c r="A25" s="11" t="s">
        <v>299</v>
      </c>
      <c r="B25" s="11" t="s">
        <v>10</v>
      </c>
      <c r="C25" s="11" t="s">
        <v>15</v>
      </c>
      <c r="D25" s="20">
        <v>1234</v>
      </c>
      <c r="E25" s="15" t="s">
        <v>353</v>
      </c>
      <c r="F25" s="11" t="s">
        <v>113</v>
      </c>
      <c r="G25" s="14"/>
    </row>
    <row r="26" spans="1:7" ht="30" x14ac:dyDescent="0.2">
      <c r="A26" s="11" t="s">
        <v>203</v>
      </c>
      <c r="B26" s="11" t="s">
        <v>9</v>
      </c>
      <c r="C26" s="11" t="s">
        <v>17</v>
      </c>
      <c r="D26" s="11"/>
      <c r="E26" s="15" t="s">
        <v>353</v>
      </c>
      <c r="F26" s="11"/>
      <c r="G26" s="14" t="s">
        <v>206</v>
      </c>
    </row>
    <row r="27" spans="1:7" x14ac:dyDescent="0.2">
      <c r="A27" s="11" t="s">
        <v>259</v>
      </c>
      <c r="B27" s="11" t="s">
        <v>10</v>
      </c>
      <c r="C27" s="11" t="s">
        <v>17</v>
      </c>
      <c r="D27" s="11"/>
      <c r="E27" s="15" t="s">
        <v>354</v>
      </c>
      <c r="F27" s="11" t="s">
        <v>113</v>
      </c>
      <c r="G27" s="14" t="s">
        <v>260</v>
      </c>
    </row>
    <row r="28" spans="1:7" ht="30" x14ac:dyDescent="0.2">
      <c r="A28" s="11" t="s">
        <v>336</v>
      </c>
      <c r="B28" s="11" t="s">
        <v>6</v>
      </c>
      <c r="C28" s="11" t="s">
        <v>19</v>
      </c>
      <c r="D28" s="11"/>
      <c r="E28" s="15" t="s">
        <v>353</v>
      </c>
      <c r="F28" s="11" t="s">
        <v>113</v>
      </c>
      <c r="G28" s="14" t="s">
        <v>338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zoomScaleNormal="100" workbookViewId="0">
      <selection activeCell="F16" sqref="F16"/>
    </sheetView>
  </sheetViews>
  <sheetFormatPr baseColWidth="10" defaultColWidth="8.6640625" defaultRowHeight="15" x14ac:dyDescent="0.2"/>
  <cols>
    <col min="1" max="1" width="32" customWidth="1"/>
    <col min="2" max="2" width="19" customWidth="1"/>
    <col min="3" max="3" width="13" customWidth="1"/>
    <col min="4" max="4" width="11" customWidth="1"/>
    <col min="5" max="5" width="16" customWidth="1"/>
    <col min="6" max="6" width="70" customWidth="1"/>
  </cols>
  <sheetData>
    <row r="1" spans="1:6" ht="20" x14ac:dyDescent="0.25">
      <c r="A1" s="4" t="s">
        <v>355</v>
      </c>
    </row>
    <row r="2" spans="1:6" x14ac:dyDescent="0.2">
      <c r="A2" s="5" t="s">
        <v>356</v>
      </c>
    </row>
    <row r="4" spans="1:6" x14ac:dyDescent="0.2">
      <c r="A4" s="10" t="s">
        <v>346</v>
      </c>
      <c r="B4" s="10" t="s">
        <v>69</v>
      </c>
      <c r="C4" s="10" t="s">
        <v>349</v>
      </c>
      <c r="D4" s="10" t="s">
        <v>357</v>
      </c>
      <c r="E4" s="10" t="s">
        <v>358</v>
      </c>
      <c r="F4" s="10" t="s">
        <v>359</v>
      </c>
    </row>
    <row r="5" spans="1:6" ht="30" x14ac:dyDescent="0.2">
      <c r="A5" s="11" t="s">
        <v>194</v>
      </c>
      <c r="B5" s="11" t="s">
        <v>6</v>
      </c>
      <c r="C5" s="11" t="s">
        <v>160</v>
      </c>
      <c r="D5" s="11">
        <v>3</v>
      </c>
      <c r="E5" s="12" t="s">
        <v>360</v>
      </c>
      <c r="F5" s="14" t="s">
        <v>361</v>
      </c>
    </row>
    <row r="6" spans="1:6" ht="30" x14ac:dyDescent="0.2">
      <c r="A6" s="11" t="s">
        <v>128</v>
      </c>
      <c r="B6" s="11" t="s">
        <v>7</v>
      </c>
      <c r="C6" s="11" t="s">
        <v>130</v>
      </c>
      <c r="D6" s="11">
        <v>7</v>
      </c>
      <c r="E6" s="12" t="s">
        <v>360</v>
      </c>
      <c r="F6" s="14" t="s">
        <v>362</v>
      </c>
    </row>
    <row r="7" spans="1:6" x14ac:dyDescent="0.2">
      <c r="A7" s="11" t="s">
        <v>171</v>
      </c>
      <c r="B7" s="11" t="s">
        <v>9</v>
      </c>
      <c r="C7" s="11" t="s">
        <v>160</v>
      </c>
      <c r="D7" s="11">
        <v>3</v>
      </c>
      <c r="E7" s="12" t="s">
        <v>360</v>
      </c>
      <c r="F7" s="14" t="s">
        <v>363</v>
      </c>
    </row>
    <row r="8" spans="1:6" x14ac:dyDescent="0.2">
      <c r="A8" s="11" t="s">
        <v>188</v>
      </c>
      <c r="B8" s="11" t="s">
        <v>6</v>
      </c>
      <c r="C8" s="11" t="s">
        <v>190</v>
      </c>
      <c r="D8" s="11">
        <v>28</v>
      </c>
      <c r="E8" s="12" t="s">
        <v>360</v>
      </c>
      <c r="F8" s="14" t="s">
        <v>364</v>
      </c>
    </row>
    <row r="9" spans="1:6" x14ac:dyDescent="0.2">
      <c r="A9" s="11" t="s">
        <v>140</v>
      </c>
      <c r="B9" s="11" t="s">
        <v>12</v>
      </c>
      <c r="C9" s="11" t="s">
        <v>142</v>
      </c>
      <c r="D9" s="11">
        <v>127</v>
      </c>
      <c r="E9" s="12" t="s">
        <v>360</v>
      </c>
      <c r="F9" s="14" t="s">
        <v>365</v>
      </c>
    </row>
    <row r="10" spans="1:6" x14ac:dyDescent="0.2">
      <c r="A10" s="11" t="s">
        <v>152</v>
      </c>
      <c r="B10" s="11" t="s">
        <v>12</v>
      </c>
      <c r="C10" s="11" t="s">
        <v>155</v>
      </c>
      <c r="D10" s="11">
        <v>126</v>
      </c>
      <c r="E10" s="12" t="s">
        <v>360</v>
      </c>
      <c r="F10" s="14" t="s">
        <v>366</v>
      </c>
    </row>
    <row r="11" spans="1:6" x14ac:dyDescent="0.2">
      <c r="A11" s="11" t="s">
        <v>146</v>
      </c>
      <c r="B11" s="11" t="s">
        <v>11</v>
      </c>
      <c r="C11" s="11" t="s">
        <v>148</v>
      </c>
      <c r="D11" s="11">
        <v>203</v>
      </c>
      <c r="E11" s="12" t="s">
        <v>360</v>
      </c>
      <c r="F11" s="14" t="s">
        <v>367</v>
      </c>
    </row>
    <row r="12" spans="1:6" x14ac:dyDescent="0.2">
      <c r="A12" s="11" t="s">
        <v>167</v>
      </c>
      <c r="B12" s="11" t="s">
        <v>10</v>
      </c>
      <c r="C12" s="11" t="s">
        <v>169</v>
      </c>
      <c r="D12" s="11">
        <v>231</v>
      </c>
      <c r="E12" s="12" t="s">
        <v>360</v>
      </c>
      <c r="F12" s="14" t="s">
        <v>368</v>
      </c>
    </row>
    <row r="13" spans="1:6" x14ac:dyDescent="0.2">
      <c r="A13" s="11" t="s">
        <v>286</v>
      </c>
      <c r="B13" s="11" t="s">
        <v>6</v>
      </c>
      <c r="C13" s="11" t="s">
        <v>288</v>
      </c>
      <c r="D13" s="11">
        <v>63</v>
      </c>
      <c r="E13" s="15" t="s">
        <v>369</v>
      </c>
      <c r="F13" s="14" t="s">
        <v>370</v>
      </c>
    </row>
    <row r="14" spans="1:6" x14ac:dyDescent="0.2">
      <c r="A14" s="11" t="s">
        <v>330</v>
      </c>
      <c r="B14" s="11" t="s">
        <v>6</v>
      </c>
      <c r="C14" s="11" t="s">
        <v>160</v>
      </c>
      <c r="D14" s="11">
        <v>3</v>
      </c>
      <c r="E14" s="21" t="s">
        <v>371</v>
      </c>
      <c r="F14" s="14" t="s">
        <v>372</v>
      </c>
    </row>
    <row r="15" spans="1:6" x14ac:dyDescent="0.2">
      <c r="A15" s="11" t="s">
        <v>231</v>
      </c>
      <c r="B15" s="11" t="s">
        <v>6</v>
      </c>
      <c r="C15" s="11" t="s">
        <v>205</v>
      </c>
      <c r="D15" s="11">
        <v>10</v>
      </c>
      <c r="E15" s="21" t="s">
        <v>373</v>
      </c>
      <c r="F15" s="14" t="s">
        <v>374</v>
      </c>
    </row>
    <row r="16" spans="1:6" x14ac:dyDescent="0.2">
      <c r="A16" s="11" t="s">
        <v>121</v>
      </c>
      <c r="B16" s="11" t="s">
        <v>7</v>
      </c>
      <c r="C16" s="11" t="s">
        <v>123</v>
      </c>
      <c r="D16" s="11">
        <v>35</v>
      </c>
      <c r="E16" s="21" t="s">
        <v>373</v>
      </c>
      <c r="F16" s="14" t="s">
        <v>375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showGridLines="0" topLeftCell="A13" zoomScaleNormal="100" workbookViewId="0"/>
  </sheetViews>
  <sheetFormatPr baseColWidth="10" defaultColWidth="8.6640625" defaultRowHeight="15" x14ac:dyDescent="0.2"/>
  <cols>
    <col min="1" max="1" width="30" customWidth="1"/>
    <col min="2" max="2" width="19" customWidth="1"/>
    <col min="3" max="3" width="21" customWidth="1"/>
    <col min="4" max="4" width="10" customWidth="1"/>
    <col min="5" max="6" width="12" customWidth="1"/>
    <col min="7" max="7" width="6" customWidth="1"/>
    <col min="8" max="8" width="66" customWidth="1"/>
  </cols>
  <sheetData>
    <row r="1" spans="1:7" ht="20" x14ac:dyDescent="0.25">
      <c r="A1" s="4" t="s">
        <v>376</v>
      </c>
    </row>
    <row r="2" spans="1:7" x14ac:dyDescent="0.2">
      <c r="A2" s="5" t="s">
        <v>377</v>
      </c>
    </row>
    <row r="4" spans="1:7" x14ac:dyDescent="0.2">
      <c r="A4" s="6" t="s">
        <v>378</v>
      </c>
    </row>
    <row r="5" spans="1:7" ht="45" x14ac:dyDescent="0.2">
      <c r="A5" s="10" t="s">
        <v>4</v>
      </c>
      <c r="B5" s="10" t="s">
        <v>379</v>
      </c>
      <c r="C5" s="10" t="s">
        <v>380</v>
      </c>
      <c r="D5" s="10" t="s">
        <v>72</v>
      </c>
      <c r="E5" s="10" t="s">
        <v>73</v>
      </c>
      <c r="F5" s="10" t="s">
        <v>75</v>
      </c>
      <c r="G5" s="10" t="s">
        <v>74</v>
      </c>
    </row>
    <row r="6" spans="1:7" x14ac:dyDescent="0.2">
      <c r="A6" s="12" t="s">
        <v>381</v>
      </c>
      <c r="B6" s="12">
        <v>11</v>
      </c>
      <c r="C6" s="12" t="s">
        <v>382</v>
      </c>
      <c r="D6" s="12">
        <v>2</v>
      </c>
      <c r="E6" s="12">
        <v>1</v>
      </c>
      <c r="F6" s="12">
        <v>0</v>
      </c>
      <c r="G6" s="12">
        <v>5</v>
      </c>
    </row>
    <row r="7" spans="1:7" x14ac:dyDescent="0.2">
      <c r="A7" s="11" t="s">
        <v>114</v>
      </c>
      <c r="B7" s="11">
        <v>6</v>
      </c>
      <c r="C7" s="11" t="s">
        <v>383</v>
      </c>
      <c r="D7" s="11">
        <v>2</v>
      </c>
      <c r="E7" s="11">
        <v>1</v>
      </c>
      <c r="F7" s="11">
        <v>2</v>
      </c>
      <c r="G7" s="11">
        <v>1</v>
      </c>
    </row>
    <row r="8" spans="1:7" x14ac:dyDescent="0.2">
      <c r="A8" s="11" t="s">
        <v>131</v>
      </c>
      <c r="B8" s="11">
        <v>31</v>
      </c>
      <c r="C8" s="11" t="s">
        <v>384</v>
      </c>
      <c r="D8" s="11">
        <v>9</v>
      </c>
      <c r="E8" s="11">
        <v>1</v>
      </c>
      <c r="F8" s="11">
        <v>0</v>
      </c>
      <c r="G8" s="11">
        <v>11</v>
      </c>
    </row>
    <row r="9" spans="1:7" x14ac:dyDescent="0.2">
      <c r="A9" s="11" t="s">
        <v>143</v>
      </c>
      <c r="B9" s="11">
        <v>11</v>
      </c>
      <c r="C9" s="11" t="s">
        <v>382</v>
      </c>
      <c r="D9" s="11">
        <v>4</v>
      </c>
      <c r="E9" s="11">
        <v>0</v>
      </c>
      <c r="F9" s="11">
        <v>2</v>
      </c>
      <c r="G9" s="11">
        <v>1</v>
      </c>
    </row>
    <row r="10" spans="1:7" x14ac:dyDescent="0.2">
      <c r="A10" s="15" t="s">
        <v>385</v>
      </c>
      <c r="B10" s="15">
        <v>1</v>
      </c>
      <c r="C10" s="15" t="s">
        <v>386</v>
      </c>
      <c r="D10" s="15">
        <v>0</v>
      </c>
      <c r="E10" s="15">
        <v>0</v>
      </c>
      <c r="F10" s="15">
        <v>0</v>
      </c>
      <c r="G10" s="15">
        <v>0</v>
      </c>
    </row>
    <row r="11" spans="1:7" x14ac:dyDescent="0.2">
      <c r="A11" s="9" t="s">
        <v>13</v>
      </c>
      <c r="B11" s="9">
        <f>SUM(B6:B10)</f>
        <v>60</v>
      </c>
    </row>
    <row r="13" spans="1:7" x14ac:dyDescent="0.2">
      <c r="A13" s="6" t="s">
        <v>387</v>
      </c>
    </row>
    <row r="14" spans="1:7" ht="43.5" customHeight="1" x14ac:dyDescent="0.2">
      <c r="A14" s="2" t="s">
        <v>388</v>
      </c>
      <c r="B14" s="2"/>
      <c r="C14" s="2"/>
      <c r="D14" s="2"/>
      <c r="E14" s="2"/>
      <c r="F14" s="2"/>
      <c r="G14" s="2"/>
    </row>
    <row r="15" spans="1:7" ht="43.5" customHeight="1" x14ac:dyDescent="0.2">
      <c r="A15" s="2" t="s">
        <v>389</v>
      </c>
      <c r="B15" s="2"/>
      <c r="C15" s="2"/>
      <c r="D15" s="2"/>
      <c r="E15" s="2"/>
      <c r="F15" s="2"/>
      <c r="G15" s="2"/>
    </row>
    <row r="16" spans="1:7" ht="43.5" customHeight="1" x14ac:dyDescent="0.2">
      <c r="A16" s="2" t="s">
        <v>390</v>
      </c>
      <c r="B16" s="2"/>
      <c r="C16" s="2"/>
      <c r="D16" s="2"/>
      <c r="E16" s="2"/>
      <c r="F16" s="2"/>
      <c r="G16" s="2"/>
    </row>
    <row r="17" spans="1:8" ht="43.5" customHeight="1" x14ac:dyDescent="0.2">
      <c r="A17" s="2" t="s">
        <v>391</v>
      </c>
      <c r="B17" s="2"/>
      <c r="C17" s="2"/>
      <c r="D17" s="2"/>
      <c r="E17" s="2"/>
      <c r="F17" s="2"/>
      <c r="G17" s="2"/>
    </row>
    <row r="18" spans="1:8" ht="43.5" customHeight="1" x14ac:dyDescent="0.2">
      <c r="A18" s="2" t="s">
        <v>392</v>
      </c>
      <c r="B18" s="2"/>
      <c r="C18" s="2"/>
      <c r="D18" s="2"/>
      <c r="E18" s="2"/>
      <c r="F18" s="2"/>
      <c r="G18" s="2"/>
    </row>
    <row r="19" spans="1:8" ht="43.5" customHeight="1" x14ac:dyDescent="0.2">
      <c r="A19" s="2" t="s">
        <v>393</v>
      </c>
      <c r="B19" s="2"/>
      <c r="C19" s="2"/>
      <c r="D19" s="2"/>
      <c r="E19" s="2"/>
      <c r="F19" s="2"/>
      <c r="G19" s="2"/>
    </row>
    <row r="21" spans="1:8" x14ac:dyDescent="0.2">
      <c r="A21" s="6" t="s">
        <v>394</v>
      </c>
    </row>
    <row r="22" spans="1:8" x14ac:dyDescent="0.2">
      <c r="A22" s="10" t="s">
        <v>346</v>
      </c>
      <c r="B22" s="10" t="s">
        <v>69</v>
      </c>
      <c r="C22" s="10" t="s">
        <v>91</v>
      </c>
      <c r="D22" s="10" t="s">
        <v>350</v>
      </c>
      <c r="E22" s="10" t="s">
        <v>349</v>
      </c>
      <c r="F22" s="10" t="s">
        <v>98</v>
      </c>
      <c r="G22" s="10" t="s">
        <v>395</v>
      </c>
      <c r="H22" s="10" t="s">
        <v>347</v>
      </c>
    </row>
    <row r="23" spans="1:8" ht="30" x14ac:dyDescent="0.2">
      <c r="A23" s="11" t="s">
        <v>257</v>
      </c>
      <c r="B23" s="11" t="s">
        <v>8</v>
      </c>
      <c r="C23" s="11" t="s">
        <v>17</v>
      </c>
      <c r="D23" s="18" t="s">
        <v>111</v>
      </c>
      <c r="E23" s="11" t="s">
        <v>130</v>
      </c>
      <c r="F23" s="11"/>
      <c r="G23" s="11"/>
      <c r="H23" s="14" t="s">
        <v>258</v>
      </c>
    </row>
    <row r="24" spans="1:8" x14ac:dyDescent="0.2">
      <c r="A24" s="11" t="s">
        <v>259</v>
      </c>
      <c r="B24" s="11" t="s">
        <v>10</v>
      </c>
      <c r="C24" s="11" t="s">
        <v>17</v>
      </c>
      <c r="D24" s="18" t="s">
        <v>111</v>
      </c>
      <c r="E24" s="11" t="s">
        <v>130</v>
      </c>
      <c r="F24" s="11"/>
      <c r="G24" s="11">
        <v>150</v>
      </c>
      <c r="H24" s="14" t="s">
        <v>260</v>
      </c>
    </row>
    <row r="25" spans="1:8" ht="30" x14ac:dyDescent="0.2">
      <c r="A25" s="11" t="s">
        <v>171</v>
      </c>
      <c r="B25" s="11" t="s">
        <v>9</v>
      </c>
      <c r="C25" s="11" t="s">
        <v>18</v>
      </c>
      <c r="D25" s="21" t="s">
        <v>154</v>
      </c>
      <c r="E25" s="11" t="s">
        <v>160</v>
      </c>
      <c r="F25" s="11"/>
      <c r="G25" s="11"/>
      <c r="H25" s="14" t="s">
        <v>173</v>
      </c>
    </row>
    <row r="26" spans="1:8" ht="30" x14ac:dyDescent="0.2">
      <c r="A26" s="11" t="s">
        <v>231</v>
      </c>
      <c r="B26" s="11" t="s">
        <v>6</v>
      </c>
      <c r="C26" s="11" t="s">
        <v>18</v>
      </c>
      <c r="D26" s="21" t="s">
        <v>154</v>
      </c>
      <c r="E26" s="11" t="s">
        <v>205</v>
      </c>
      <c r="F26" s="11"/>
      <c r="G26" s="11"/>
      <c r="H26" s="14" t="s">
        <v>233</v>
      </c>
    </row>
    <row r="27" spans="1:8" x14ac:dyDescent="0.2">
      <c r="A27" s="11" t="s">
        <v>184</v>
      </c>
      <c r="B27" s="11" t="s">
        <v>6</v>
      </c>
      <c r="C27" s="11" t="s">
        <v>17</v>
      </c>
      <c r="D27" s="21" t="s">
        <v>154</v>
      </c>
      <c r="E27" s="11" t="s">
        <v>186</v>
      </c>
      <c r="F27" s="11"/>
      <c r="G27" s="11"/>
      <c r="H27" s="14" t="s">
        <v>187</v>
      </c>
    </row>
    <row r="28" spans="1:8" x14ac:dyDescent="0.2">
      <c r="A28" s="11" t="s">
        <v>307</v>
      </c>
      <c r="B28" s="11" t="s">
        <v>6</v>
      </c>
      <c r="C28" s="11" t="s">
        <v>15</v>
      </c>
      <c r="D28" s="21" t="s">
        <v>154</v>
      </c>
      <c r="E28" s="11"/>
      <c r="F28" s="20">
        <v>500000</v>
      </c>
      <c r="G28" s="11">
        <v>10</v>
      </c>
      <c r="H28" s="14"/>
    </row>
    <row r="29" spans="1:8" ht="30" x14ac:dyDescent="0.2">
      <c r="A29" s="11" t="s">
        <v>158</v>
      </c>
      <c r="B29" s="11" t="s">
        <v>8</v>
      </c>
      <c r="C29" s="11" t="s">
        <v>17</v>
      </c>
      <c r="D29" s="21" t="s">
        <v>154</v>
      </c>
      <c r="E29" s="11" t="s">
        <v>160</v>
      </c>
      <c r="F29" s="11"/>
      <c r="G29" s="11"/>
      <c r="H29" s="14" t="s">
        <v>161</v>
      </c>
    </row>
    <row r="30" spans="1:8" ht="30" x14ac:dyDescent="0.2">
      <c r="A30" s="11" t="s">
        <v>167</v>
      </c>
      <c r="B30" s="11" t="s">
        <v>10</v>
      </c>
      <c r="C30" s="11" t="s">
        <v>18</v>
      </c>
      <c r="D30" s="21" t="s">
        <v>154</v>
      </c>
      <c r="E30" s="11" t="s">
        <v>169</v>
      </c>
      <c r="F30" s="20">
        <v>944000</v>
      </c>
      <c r="G30" s="11">
        <v>50</v>
      </c>
      <c r="H30" s="14" t="s">
        <v>170</v>
      </c>
    </row>
    <row r="31" spans="1:8" ht="30" x14ac:dyDescent="0.2">
      <c r="A31" s="11" t="s">
        <v>340</v>
      </c>
      <c r="B31" s="11" t="s">
        <v>6</v>
      </c>
      <c r="C31" s="11" t="s">
        <v>19</v>
      </c>
      <c r="D31" s="21" t="s">
        <v>154</v>
      </c>
      <c r="E31" s="11" t="s">
        <v>342</v>
      </c>
      <c r="F31" s="11"/>
      <c r="G31" s="11"/>
      <c r="H31" s="14" t="s">
        <v>343</v>
      </c>
    </row>
    <row r="32" spans="1:8" x14ac:dyDescent="0.2">
      <c r="A32" s="11" t="s">
        <v>152</v>
      </c>
      <c r="B32" s="11" t="s">
        <v>12</v>
      </c>
      <c r="C32" s="11" t="s">
        <v>18</v>
      </c>
      <c r="D32" s="21" t="s">
        <v>154</v>
      </c>
      <c r="E32" s="11" t="s">
        <v>155</v>
      </c>
      <c r="F32" s="11"/>
      <c r="G32" s="11"/>
      <c r="H32" s="14" t="s">
        <v>157</v>
      </c>
    </row>
    <row r="33" spans="1:8" ht="30" x14ac:dyDescent="0.2">
      <c r="A33" s="11" t="s">
        <v>194</v>
      </c>
      <c r="B33" s="11" t="s">
        <v>6</v>
      </c>
      <c r="C33" s="11" t="s">
        <v>18</v>
      </c>
      <c r="D33" s="21" t="s">
        <v>154</v>
      </c>
      <c r="E33" s="11" t="s">
        <v>160</v>
      </c>
      <c r="F33" s="11"/>
      <c r="G33" s="11"/>
      <c r="H33" s="14" t="s">
        <v>196</v>
      </c>
    </row>
  </sheetData>
  <mergeCells count="6">
    <mergeCell ref="A19:G19"/>
    <mergeCell ref="A14:G14"/>
    <mergeCell ref="A15:G15"/>
    <mergeCell ref="A16:G16"/>
    <mergeCell ref="A17:G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showGridLines="0" tabSelected="1" zoomScaleNormal="100" workbookViewId="0">
      <selection activeCell="D10" sqref="D10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3" width="9" customWidth="1"/>
    <col min="4" max="4" width="11" customWidth="1"/>
    <col min="5" max="5" width="13" customWidth="1"/>
    <col min="6" max="7" width="11" customWidth="1"/>
    <col min="8" max="8" width="8" customWidth="1"/>
    <col min="9" max="9" width="52" customWidth="1"/>
  </cols>
  <sheetData>
    <row r="1" spans="1:9" ht="20" x14ac:dyDescent="0.25">
      <c r="A1" s="4" t="s">
        <v>396</v>
      </c>
    </row>
    <row r="2" spans="1:9" x14ac:dyDescent="0.2">
      <c r="A2" s="5" t="s">
        <v>397</v>
      </c>
    </row>
    <row r="4" spans="1:9" x14ac:dyDescent="0.2">
      <c r="A4" s="22" t="s">
        <v>398</v>
      </c>
    </row>
    <row r="6" spans="1:9" x14ac:dyDescent="0.2">
      <c r="A6" s="6" t="s">
        <v>399</v>
      </c>
    </row>
    <row r="7" spans="1:9" x14ac:dyDescent="0.2">
      <c r="A7" s="10" t="s">
        <v>346</v>
      </c>
      <c r="B7" s="10" t="s">
        <v>69</v>
      </c>
      <c r="C7" s="10" t="s">
        <v>400</v>
      </c>
      <c r="D7" s="10" t="s">
        <v>401</v>
      </c>
      <c r="E7" s="10" t="s">
        <v>102</v>
      </c>
      <c r="F7" s="10" t="s">
        <v>402</v>
      </c>
      <c r="G7" s="10" t="s">
        <v>99</v>
      </c>
      <c r="H7" s="10" t="s">
        <v>403</v>
      </c>
      <c r="I7" s="10" t="s">
        <v>404</v>
      </c>
    </row>
    <row r="8" spans="1:9" x14ac:dyDescent="0.2">
      <c r="A8" s="11" t="s">
        <v>178</v>
      </c>
      <c r="B8" s="11" t="s">
        <v>6</v>
      </c>
      <c r="C8" s="12" t="s">
        <v>131</v>
      </c>
      <c r="D8" s="21" t="s">
        <v>156</v>
      </c>
      <c r="E8" s="11" t="s">
        <v>125</v>
      </c>
      <c r="F8" s="11" t="s">
        <v>405</v>
      </c>
      <c r="G8" s="11" t="s">
        <v>406</v>
      </c>
      <c r="H8" s="11"/>
      <c r="I8" s="14" t="s">
        <v>407</v>
      </c>
    </row>
    <row r="9" spans="1:9" x14ac:dyDescent="0.2">
      <c r="A9" s="11" t="s">
        <v>336</v>
      </c>
      <c r="B9" s="11" t="s">
        <v>6</v>
      </c>
      <c r="C9" s="12" t="s">
        <v>114</v>
      </c>
      <c r="D9" s="21" t="s">
        <v>156</v>
      </c>
      <c r="E9" s="11" t="s">
        <v>125</v>
      </c>
      <c r="F9" s="11" t="s">
        <v>408</v>
      </c>
      <c r="G9" s="11" t="s">
        <v>409</v>
      </c>
      <c r="H9" s="11" t="s">
        <v>410</v>
      </c>
      <c r="I9" s="14" t="s">
        <v>411</v>
      </c>
    </row>
    <row r="10" spans="1:9" x14ac:dyDescent="0.2">
      <c r="A10" s="11" t="s">
        <v>327</v>
      </c>
      <c r="B10" s="11" t="s">
        <v>6</v>
      </c>
      <c r="C10" s="12" t="s">
        <v>131</v>
      </c>
      <c r="D10" s="21" t="s">
        <v>114</v>
      </c>
      <c r="E10" s="11" t="s">
        <v>138</v>
      </c>
      <c r="F10" s="11" t="s">
        <v>412</v>
      </c>
      <c r="G10" s="11" t="s">
        <v>406</v>
      </c>
      <c r="H10" s="11"/>
      <c r="I10" s="14" t="s">
        <v>413</v>
      </c>
    </row>
    <row r="11" spans="1:9" x14ac:dyDescent="0.2">
      <c r="A11" s="11" t="s">
        <v>188</v>
      </c>
      <c r="B11" s="11" t="s">
        <v>6</v>
      </c>
      <c r="C11" s="12" t="s">
        <v>131</v>
      </c>
      <c r="D11" s="21" t="s">
        <v>114</v>
      </c>
      <c r="E11" s="11" t="s">
        <v>116</v>
      </c>
      <c r="F11" s="11" t="s">
        <v>414</v>
      </c>
      <c r="G11" s="11" t="s">
        <v>406</v>
      </c>
      <c r="H11" s="11" t="s">
        <v>415</v>
      </c>
      <c r="I11" s="14" t="s">
        <v>416</v>
      </c>
    </row>
    <row r="12" spans="1:9" x14ac:dyDescent="0.2">
      <c r="A12" s="11" t="s">
        <v>174</v>
      </c>
      <c r="B12" s="11" t="s">
        <v>11</v>
      </c>
      <c r="C12" s="12" t="s">
        <v>131</v>
      </c>
      <c r="D12" s="21" t="s">
        <v>114</v>
      </c>
      <c r="E12" s="11" t="s">
        <v>125</v>
      </c>
      <c r="F12" s="11" t="s">
        <v>417</v>
      </c>
      <c r="G12" s="11" t="s">
        <v>409</v>
      </c>
      <c r="H12" s="11"/>
      <c r="I12" s="14" t="s">
        <v>418</v>
      </c>
    </row>
    <row r="13" spans="1:9" x14ac:dyDescent="0.2">
      <c r="A13" s="11" t="s">
        <v>146</v>
      </c>
      <c r="B13" s="11" t="s">
        <v>11</v>
      </c>
      <c r="C13" s="12" t="s">
        <v>131</v>
      </c>
      <c r="D13" s="21" t="s">
        <v>114</v>
      </c>
      <c r="E13" s="11" t="s">
        <v>150</v>
      </c>
      <c r="F13" s="11" t="s">
        <v>419</v>
      </c>
      <c r="G13" s="11" t="s">
        <v>420</v>
      </c>
      <c r="H13" s="11"/>
      <c r="I13" s="14" t="s">
        <v>421</v>
      </c>
    </row>
    <row r="14" spans="1:9" x14ac:dyDescent="0.2">
      <c r="A14" s="11" t="s">
        <v>235</v>
      </c>
      <c r="B14" s="11" t="s">
        <v>6</v>
      </c>
      <c r="C14" s="12" t="s">
        <v>131</v>
      </c>
      <c r="D14" s="21" t="s">
        <v>114</v>
      </c>
      <c r="E14" s="11" t="s">
        <v>116</v>
      </c>
      <c r="F14" s="11" t="s">
        <v>417</v>
      </c>
      <c r="G14" s="11" t="s">
        <v>406</v>
      </c>
      <c r="H14" s="11"/>
      <c r="I14" s="14" t="s">
        <v>418</v>
      </c>
    </row>
    <row r="15" spans="1:9" x14ac:dyDescent="0.2">
      <c r="A15" s="11" t="s">
        <v>238</v>
      </c>
      <c r="B15" s="11" t="s">
        <v>6</v>
      </c>
      <c r="C15" s="12" t="s">
        <v>131</v>
      </c>
      <c r="D15" s="21" t="s">
        <v>114</v>
      </c>
      <c r="E15" s="11" t="s">
        <v>138</v>
      </c>
      <c r="F15" s="11" t="s">
        <v>412</v>
      </c>
      <c r="G15" s="11" t="s">
        <v>406</v>
      </c>
      <c r="H15" s="11"/>
      <c r="I15" s="14" t="s">
        <v>413</v>
      </c>
    </row>
    <row r="17" spans="1:9" x14ac:dyDescent="0.2">
      <c r="A17" s="6" t="s">
        <v>422</v>
      </c>
    </row>
    <row r="18" spans="1:9" x14ac:dyDescent="0.2">
      <c r="A18" s="1" t="s">
        <v>423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0" t="s">
        <v>346</v>
      </c>
      <c r="B19" s="10" t="s">
        <v>69</v>
      </c>
      <c r="C19" s="10" t="s">
        <v>400</v>
      </c>
      <c r="D19" s="10" t="s">
        <v>401</v>
      </c>
      <c r="E19" s="10" t="s">
        <v>102</v>
      </c>
      <c r="F19" s="10" t="s">
        <v>402</v>
      </c>
      <c r="G19" s="10" t="s">
        <v>99</v>
      </c>
      <c r="H19" s="10" t="s">
        <v>403</v>
      </c>
      <c r="I19" s="10" t="s">
        <v>404</v>
      </c>
    </row>
    <row r="20" spans="1:9" x14ac:dyDescent="0.2">
      <c r="A20" s="11" t="s">
        <v>303</v>
      </c>
      <c r="B20" s="11" t="s">
        <v>9</v>
      </c>
      <c r="C20" s="15" t="s">
        <v>304</v>
      </c>
      <c r="D20" s="21" t="s">
        <v>131</v>
      </c>
      <c r="E20" s="11" t="s">
        <v>226</v>
      </c>
      <c r="F20" s="11" t="s">
        <v>424</v>
      </c>
      <c r="G20" s="11" t="s">
        <v>425</v>
      </c>
      <c r="H20" s="11" t="s">
        <v>303</v>
      </c>
      <c r="I20" s="14" t="s">
        <v>426</v>
      </c>
    </row>
    <row r="21" spans="1:9" x14ac:dyDescent="0.2">
      <c r="A21" s="11" t="s">
        <v>224</v>
      </c>
      <c r="B21" s="11" t="s">
        <v>9</v>
      </c>
      <c r="C21" s="15" t="s">
        <v>143</v>
      </c>
      <c r="D21" s="21" t="s">
        <v>131</v>
      </c>
      <c r="E21" s="11" t="s">
        <v>226</v>
      </c>
      <c r="F21" s="11" t="s">
        <v>414</v>
      </c>
      <c r="G21" s="11" t="s">
        <v>406</v>
      </c>
      <c r="H21" s="11"/>
      <c r="I21" s="14" t="s">
        <v>427</v>
      </c>
    </row>
    <row r="22" spans="1:9" x14ac:dyDescent="0.2">
      <c r="A22" s="11" t="s">
        <v>208</v>
      </c>
      <c r="B22" s="11" t="s">
        <v>8</v>
      </c>
      <c r="C22" s="15" t="s">
        <v>131</v>
      </c>
      <c r="D22" s="21" t="s">
        <v>131</v>
      </c>
      <c r="E22" s="11" t="s">
        <v>138</v>
      </c>
      <c r="F22" s="11" t="s">
        <v>414</v>
      </c>
      <c r="G22" s="11" t="s">
        <v>406</v>
      </c>
      <c r="H22" s="11"/>
      <c r="I22" s="14" t="s">
        <v>427</v>
      </c>
    </row>
    <row r="23" spans="1:9" x14ac:dyDescent="0.2">
      <c r="A23" s="11" t="s">
        <v>217</v>
      </c>
      <c r="B23" s="11" t="s">
        <v>9</v>
      </c>
      <c r="C23" s="15" t="s">
        <v>131</v>
      </c>
      <c r="D23" s="21" t="s">
        <v>131</v>
      </c>
      <c r="E23" s="11" t="s">
        <v>138</v>
      </c>
      <c r="F23" s="11" t="s">
        <v>414</v>
      </c>
      <c r="G23" s="11" t="s">
        <v>406</v>
      </c>
      <c r="H23" s="11"/>
      <c r="I23" s="14" t="s">
        <v>427</v>
      </c>
    </row>
    <row r="24" spans="1:9" x14ac:dyDescent="0.2">
      <c r="A24" s="11" t="s">
        <v>228</v>
      </c>
      <c r="B24" s="11" t="s">
        <v>9</v>
      </c>
      <c r="C24" s="15" t="s">
        <v>143</v>
      </c>
      <c r="D24" s="21" t="s">
        <v>131</v>
      </c>
      <c r="E24" s="11" t="s">
        <v>138</v>
      </c>
      <c r="F24" s="11" t="s">
        <v>414</v>
      </c>
      <c r="G24" s="11" t="s">
        <v>409</v>
      </c>
      <c r="H24" s="11"/>
      <c r="I24" s="14" t="s">
        <v>428</v>
      </c>
    </row>
    <row r="26" spans="1:9" x14ac:dyDescent="0.2">
      <c r="A26" s="6" t="s">
        <v>429</v>
      </c>
    </row>
    <row r="27" spans="1:9" x14ac:dyDescent="0.2">
      <c r="A27" s="1" t="s">
        <v>430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0" t="s">
        <v>346</v>
      </c>
      <c r="B28" s="10" t="s">
        <v>69</v>
      </c>
      <c r="C28" s="10" t="s">
        <v>400</v>
      </c>
      <c r="D28" s="10" t="s">
        <v>401</v>
      </c>
      <c r="E28" s="10" t="s">
        <v>102</v>
      </c>
      <c r="F28" s="10" t="s">
        <v>402</v>
      </c>
      <c r="G28" s="10" t="s">
        <v>99</v>
      </c>
      <c r="H28" s="10" t="s">
        <v>403</v>
      </c>
      <c r="I28" s="10" t="s">
        <v>404</v>
      </c>
    </row>
  </sheetData>
  <mergeCells count="2">
    <mergeCell ref="A18:I18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8"/>
  <sheetViews>
    <sheetView showGridLines="0" zoomScaleNormal="100" workbookViewId="0"/>
  </sheetViews>
  <sheetFormatPr baseColWidth="10" defaultColWidth="8.6640625" defaultRowHeight="15" x14ac:dyDescent="0.2"/>
  <cols>
    <col min="1" max="1" width="28" customWidth="1"/>
    <col min="2" max="2" width="18" customWidth="1"/>
    <col min="3" max="3" width="28" customWidth="1"/>
    <col min="4" max="4" width="26" customWidth="1"/>
    <col min="5" max="5" width="16" customWidth="1"/>
    <col min="6" max="6" width="11" customWidth="1"/>
    <col min="7" max="7" width="50" customWidth="1"/>
  </cols>
  <sheetData>
    <row r="1" spans="1:7" ht="20" x14ac:dyDescent="0.25">
      <c r="A1" s="4" t="s">
        <v>431</v>
      </c>
    </row>
    <row r="2" spans="1:7" x14ac:dyDescent="0.2">
      <c r="A2" s="5" t="s">
        <v>432</v>
      </c>
    </row>
    <row r="4" spans="1:7" x14ac:dyDescent="0.2">
      <c r="A4" s="10" t="s">
        <v>346</v>
      </c>
      <c r="B4" s="10" t="s">
        <v>69</v>
      </c>
      <c r="C4" s="10" t="s">
        <v>433</v>
      </c>
      <c r="D4" s="10" t="s">
        <v>434</v>
      </c>
      <c r="E4" s="10" t="s">
        <v>435</v>
      </c>
      <c r="F4" s="10" t="s">
        <v>436</v>
      </c>
      <c r="G4" s="10" t="s">
        <v>437</v>
      </c>
    </row>
    <row r="5" spans="1:7" x14ac:dyDescent="0.2">
      <c r="A5" s="12" t="s">
        <v>108</v>
      </c>
      <c r="B5" s="12" t="s">
        <v>7</v>
      </c>
      <c r="C5" s="12" t="s">
        <v>438</v>
      </c>
      <c r="D5" s="12" t="s">
        <v>439</v>
      </c>
      <c r="E5" s="12" t="s">
        <v>440</v>
      </c>
      <c r="F5" s="12">
        <v>3</v>
      </c>
      <c r="G5" s="23" t="s">
        <v>441</v>
      </c>
    </row>
    <row r="6" spans="1:7" x14ac:dyDescent="0.2">
      <c r="A6" s="12" t="s">
        <v>171</v>
      </c>
      <c r="B6" s="12" t="s">
        <v>9</v>
      </c>
      <c r="C6" s="12" t="s">
        <v>442</v>
      </c>
      <c r="D6" s="12" t="s">
        <v>443</v>
      </c>
      <c r="E6" s="12" t="s">
        <v>444</v>
      </c>
      <c r="F6" s="12">
        <v>3</v>
      </c>
      <c r="G6" s="23" t="s">
        <v>445</v>
      </c>
    </row>
    <row r="7" spans="1:7" x14ac:dyDescent="0.2">
      <c r="A7" s="12" t="s">
        <v>178</v>
      </c>
      <c r="B7" s="12" t="s">
        <v>6</v>
      </c>
      <c r="C7" s="12" t="s">
        <v>438</v>
      </c>
      <c r="D7" s="12" t="s">
        <v>446</v>
      </c>
      <c r="E7" s="12" t="s">
        <v>440</v>
      </c>
      <c r="F7" s="12">
        <v>3</v>
      </c>
      <c r="G7" s="23" t="s">
        <v>447</v>
      </c>
    </row>
    <row r="8" spans="1:7" x14ac:dyDescent="0.2">
      <c r="A8" s="12" t="s">
        <v>184</v>
      </c>
      <c r="B8" s="12" t="s">
        <v>6</v>
      </c>
      <c r="C8" s="12" t="s">
        <v>438</v>
      </c>
      <c r="D8" s="12" t="s">
        <v>448</v>
      </c>
      <c r="E8" s="12" t="s">
        <v>440</v>
      </c>
      <c r="F8" s="12">
        <v>3</v>
      </c>
      <c r="G8" s="23" t="s">
        <v>449</v>
      </c>
    </row>
    <row r="9" spans="1:7" x14ac:dyDescent="0.2">
      <c r="A9" s="12" t="s">
        <v>121</v>
      </c>
      <c r="B9" s="12" t="s">
        <v>7</v>
      </c>
      <c r="C9" s="12" t="s">
        <v>442</v>
      </c>
      <c r="D9" s="12" t="s">
        <v>450</v>
      </c>
      <c r="E9" s="12" t="s">
        <v>440</v>
      </c>
      <c r="F9" s="12">
        <v>3</v>
      </c>
      <c r="G9" s="23" t="s">
        <v>451</v>
      </c>
    </row>
    <row r="10" spans="1:7" x14ac:dyDescent="0.2">
      <c r="A10" s="12" t="s">
        <v>188</v>
      </c>
      <c r="B10" s="12" t="s">
        <v>6</v>
      </c>
      <c r="C10" s="12" t="s">
        <v>442</v>
      </c>
      <c r="D10" s="12" t="s">
        <v>452</v>
      </c>
      <c r="E10" s="12" t="s">
        <v>440</v>
      </c>
      <c r="F10" s="12">
        <v>3</v>
      </c>
      <c r="G10" s="23" t="s">
        <v>453</v>
      </c>
    </row>
    <row r="11" spans="1:7" x14ac:dyDescent="0.2">
      <c r="A11" s="12" t="s">
        <v>192</v>
      </c>
      <c r="B11" s="12" t="s">
        <v>6</v>
      </c>
      <c r="C11" s="12" t="s">
        <v>438</v>
      </c>
      <c r="D11" s="12" t="s">
        <v>446</v>
      </c>
      <c r="E11" s="12" t="s">
        <v>440</v>
      </c>
      <c r="F11" s="12">
        <v>3</v>
      </c>
      <c r="G11" s="23" t="s">
        <v>447</v>
      </c>
    </row>
    <row r="12" spans="1:7" x14ac:dyDescent="0.2">
      <c r="A12" s="12" t="s">
        <v>174</v>
      </c>
      <c r="B12" s="12" t="s">
        <v>11</v>
      </c>
      <c r="C12" s="12" t="s">
        <v>438</v>
      </c>
      <c r="D12" s="12" t="s">
        <v>454</v>
      </c>
      <c r="E12" s="12" t="s">
        <v>440</v>
      </c>
      <c r="F12" s="12">
        <v>3</v>
      </c>
      <c r="G12" s="23" t="s">
        <v>455</v>
      </c>
    </row>
    <row r="13" spans="1:7" x14ac:dyDescent="0.2">
      <c r="A13" s="12" t="s">
        <v>128</v>
      </c>
      <c r="B13" s="12" t="s">
        <v>7</v>
      </c>
      <c r="C13" s="12" t="s">
        <v>442</v>
      </c>
      <c r="D13" s="12" t="s">
        <v>454</v>
      </c>
      <c r="E13" s="12" t="s">
        <v>440</v>
      </c>
      <c r="F13" s="12">
        <v>3</v>
      </c>
      <c r="G13" s="23" t="s">
        <v>455</v>
      </c>
    </row>
    <row r="14" spans="1:7" x14ac:dyDescent="0.2">
      <c r="A14" s="12" t="s">
        <v>158</v>
      </c>
      <c r="B14" s="12" t="s">
        <v>8</v>
      </c>
      <c r="C14" s="12" t="s">
        <v>438</v>
      </c>
      <c r="D14" s="12" t="s">
        <v>443</v>
      </c>
      <c r="E14" s="12" t="s">
        <v>444</v>
      </c>
      <c r="F14" s="12">
        <v>3</v>
      </c>
      <c r="G14" s="23" t="s">
        <v>456</v>
      </c>
    </row>
    <row r="15" spans="1:7" x14ac:dyDescent="0.2">
      <c r="A15" s="12" t="s">
        <v>146</v>
      </c>
      <c r="B15" s="12" t="s">
        <v>11</v>
      </c>
      <c r="C15" s="12" t="s">
        <v>442</v>
      </c>
      <c r="D15" s="12" t="s">
        <v>457</v>
      </c>
      <c r="E15" s="12" t="s">
        <v>440</v>
      </c>
      <c r="F15" s="12">
        <v>3</v>
      </c>
      <c r="G15" s="23" t="s">
        <v>458</v>
      </c>
    </row>
    <row r="16" spans="1:7" x14ac:dyDescent="0.2">
      <c r="A16" s="12" t="s">
        <v>135</v>
      </c>
      <c r="B16" s="12" t="s">
        <v>7</v>
      </c>
      <c r="C16" s="12" t="s">
        <v>459</v>
      </c>
      <c r="D16" s="12" t="s">
        <v>454</v>
      </c>
      <c r="E16" s="12" t="s">
        <v>440</v>
      </c>
      <c r="F16" s="12">
        <v>3</v>
      </c>
      <c r="G16" s="23" t="s">
        <v>455</v>
      </c>
    </row>
    <row r="17" spans="1:7" x14ac:dyDescent="0.2">
      <c r="A17" s="12" t="s">
        <v>167</v>
      </c>
      <c r="B17" s="12" t="s">
        <v>10</v>
      </c>
      <c r="C17" s="12" t="s">
        <v>442</v>
      </c>
      <c r="D17" s="12" t="s">
        <v>460</v>
      </c>
      <c r="E17" s="12" t="s">
        <v>440</v>
      </c>
      <c r="F17" s="12">
        <v>3</v>
      </c>
      <c r="G17" s="23" t="s">
        <v>461</v>
      </c>
    </row>
    <row r="18" spans="1:7" x14ac:dyDescent="0.2">
      <c r="A18" s="12" t="s">
        <v>140</v>
      </c>
      <c r="B18" s="12" t="s">
        <v>12</v>
      </c>
      <c r="C18" s="12" t="s">
        <v>442</v>
      </c>
      <c r="D18" s="12" t="s">
        <v>462</v>
      </c>
      <c r="E18" s="12" t="s">
        <v>440</v>
      </c>
      <c r="F18" s="12">
        <v>3</v>
      </c>
      <c r="G18" s="23" t="s">
        <v>463</v>
      </c>
    </row>
    <row r="19" spans="1:7" x14ac:dyDescent="0.2">
      <c r="A19" s="12" t="s">
        <v>152</v>
      </c>
      <c r="B19" s="12" t="s">
        <v>12</v>
      </c>
      <c r="C19" s="12" t="s">
        <v>442</v>
      </c>
      <c r="D19" s="12" t="s">
        <v>464</v>
      </c>
      <c r="E19" s="12" t="s">
        <v>440</v>
      </c>
      <c r="F19" s="12">
        <v>3</v>
      </c>
      <c r="G19" s="23" t="s">
        <v>465</v>
      </c>
    </row>
    <row r="20" spans="1:7" x14ac:dyDescent="0.2">
      <c r="A20" s="12" t="s">
        <v>163</v>
      </c>
      <c r="B20" s="12" t="s">
        <v>8</v>
      </c>
      <c r="C20" s="12" t="s">
        <v>438</v>
      </c>
      <c r="D20" s="12" t="s">
        <v>466</v>
      </c>
      <c r="E20" s="12" t="s">
        <v>440</v>
      </c>
      <c r="F20" s="12">
        <v>3</v>
      </c>
      <c r="G20" s="23" t="s">
        <v>467</v>
      </c>
    </row>
    <row r="21" spans="1:7" x14ac:dyDescent="0.2">
      <c r="A21" s="12" t="s">
        <v>194</v>
      </c>
      <c r="B21" s="12" t="s">
        <v>6</v>
      </c>
      <c r="C21" s="12" t="s">
        <v>442</v>
      </c>
      <c r="D21" s="12" t="s">
        <v>443</v>
      </c>
      <c r="E21" s="12" t="s">
        <v>444</v>
      </c>
      <c r="F21" s="12">
        <v>3</v>
      </c>
      <c r="G21" s="23" t="s">
        <v>468</v>
      </c>
    </row>
    <row r="22" spans="1:7" x14ac:dyDescent="0.2">
      <c r="A22" s="12" t="s">
        <v>208</v>
      </c>
      <c r="B22" s="12" t="s">
        <v>8</v>
      </c>
      <c r="C22" s="12" t="s">
        <v>438</v>
      </c>
      <c r="D22" s="12" t="s">
        <v>469</v>
      </c>
      <c r="E22" s="12" t="s">
        <v>440</v>
      </c>
      <c r="F22" s="12">
        <v>2</v>
      </c>
      <c r="G22" s="23" t="s">
        <v>470</v>
      </c>
    </row>
    <row r="23" spans="1:7" x14ac:dyDescent="0.2">
      <c r="A23" s="12" t="s">
        <v>231</v>
      </c>
      <c r="B23" s="12" t="s">
        <v>6</v>
      </c>
      <c r="C23" s="12" t="s">
        <v>442</v>
      </c>
      <c r="D23" s="12" t="s">
        <v>471</v>
      </c>
      <c r="E23" s="12" t="s">
        <v>440</v>
      </c>
      <c r="F23" s="12">
        <v>2</v>
      </c>
      <c r="G23" s="23" t="s">
        <v>472</v>
      </c>
    </row>
    <row r="24" spans="1:7" x14ac:dyDescent="0.2">
      <c r="A24" s="12" t="s">
        <v>213</v>
      </c>
      <c r="B24" s="12" t="s">
        <v>8</v>
      </c>
      <c r="C24" s="12" t="s">
        <v>438</v>
      </c>
      <c r="D24" s="12" t="s">
        <v>471</v>
      </c>
      <c r="E24" s="12" t="s">
        <v>440</v>
      </c>
      <c r="F24" s="12">
        <v>2</v>
      </c>
      <c r="G24" s="23" t="s">
        <v>472</v>
      </c>
    </row>
    <row r="25" spans="1:7" x14ac:dyDescent="0.2">
      <c r="A25" s="12" t="s">
        <v>215</v>
      </c>
      <c r="B25" s="12" t="s">
        <v>8</v>
      </c>
      <c r="C25" s="12" t="s">
        <v>438</v>
      </c>
      <c r="D25" s="12" t="s">
        <v>471</v>
      </c>
      <c r="E25" s="12" t="s">
        <v>440</v>
      </c>
      <c r="F25" s="12">
        <v>2</v>
      </c>
      <c r="G25" s="23" t="s">
        <v>472</v>
      </c>
    </row>
    <row r="26" spans="1:7" x14ac:dyDescent="0.2">
      <c r="A26" s="12" t="s">
        <v>203</v>
      </c>
      <c r="B26" s="12" t="s">
        <v>9</v>
      </c>
      <c r="C26" s="12" t="s">
        <v>438</v>
      </c>
      <c r="D26" s="12" t="s">
        <v>471</v>
      </c>
      <c r="E26" s="12" t="s">
        <v>440</v>
      </c>
      <c r="F26" s="12">
        <v>2</v>
      </c>
      <c r="G26" s="23" t="s">
        <v>472</v>
      </c>
    </row>
    <row r="27" spans="1:7" x14ac:dyDescent="0.2">
      <c r="A27" s="12" t="s">
        <v>217</v>
      </c>
      <c r="B27" s="12" t="s">
        <v>9</v>
      </c>
      <c r="C27" s="12" t="s">
        <v>438</v>
      </c>
      <c r="D27" s="12" t="s">
        <v>473</v>
      </c>
      <c r="E27" s="12" t="s">
        <v>444</v>
      </c>
      <c r="F27" s="12">
        <v>2</v>
      </c>
      <c r="G27" s="23" t="s">
        <v>474</v>
      </c>
    </row>
    <row r="28" spans="1:7" x14ac:dyDescent="0.2">
      <c r="A28" s="12" t="s">
        <v>221</v>
      </c>
      <c r="B28" s="12" t="s">
        <v>9</v>
      </c>
      <c r="C28" s="12" t="s">
        <v>438</v>
      </c>
      <c r="D28" s="12" t="s">
        <v>473</v>
      </c>
      <c r="E28" s="12" t="s">
        <v>444</v>
      </c>
      <c r="F28" s="12">
        <v>2</v>
      </c>
      <c r="G28" s="23" t="s">
        <v>475</v>
      </c>
    </row>
    <row r="29" spans="1:7" x14ac:dyDescent="0.2">
      <c r="A29" s="12" t="s">
        <v>224</v>
      </c>
      <c r="B29" s="12" t="s">
        <v>9</v>
      </c>
      <c r="C29" s="12" t="s">
        <v>438</v>
      </c>
      <c r="D29" s="12" t="s">
        <v>471</v>
      </c>
      <c r="E29" s="12" t="s">
        <v>440</v>
      </c>
      <c r="F29" s="12">
        <v>2</v>
      </c>
      <c r="G29" s="23" t="s">
        <v>472</v>
      </c>
    </row>
    <row r="30" spans="1:7" x14ac:dyDescent="0.2">
      <c r="A30" s="12" t="s">
        <v>198</v>
      </c>
      <c r="B30" s="12" t="s">
        <v>7</v>
      </c>
      <c r="C30" s="12" t="s">
        <v>438</v>
      </c>
      <c r="D30" s="12" t="s">
        <v>454</v>
      </c>
      <c r="E30" s="12" t="s">
        <v>440</v>
      </c>
      <c r="F30" s="12">
        <v>2</v>
      </c>
      <c r="G30" s="23" t="s">
        <v>455</v>
      </c>
    </row>
    <row r="31" spans="1:7" x14ac:dyDescent="0.2">
      <c r="A31" s="12" t="s">
        <v>228</v>
      </c>
      <c r="B31" s="12" t="s">
        <v>9</v>
      </c>
      <c r="C31" s="12" t="s">
        <v>438</v>
      </c>
      <c r="D31" s="12" t="s">
        <v>473</v>
      </c>
      <c r="E31" s="12" t="s">
        <v>444</v>
      </c>
      <c r="F31" s="12">
        <v>2</v>
      </c>
      <c r="G31" s="23" t="s">
        <v>476</v>
      </c>
    </row>
    <row r="32" spans="1:7" x14ac:dyDescent="0.2">
      <c r="A32" s="12" t="s">
        <v>235</v>
      </c>
      <c r="B32" s="12" t="s">
        <v>6</v>
      </c>
      <c r="C32" s="12" t="s">
        <v>438</v>
      </c>
      <c r="D32" s="12" t="s">
        <v>471</v>
      </c>
      <c r="E32" s="12" t="s">
        <v>440</v>
      </c>
      <c r="F32" s="12">
        <v>2</v>
      </c>
      <c r="G32" s="23" t="s">
        <v>472</v>
      </c>
    </row>
    <row r="33" spans="1:7" x14ac:dyDescent="0.2">
      <c r="A33" s="12" t="s">
        <v>238</v>
      </c>
      <c r="B33" s="12" t="s">
        <v>6</v>
      </c>
      <c r="C33" s="12" t="s">
        <v>438</v>
      </c>
      <c r="D33" s="12" t="s">
        <v>443</v>
      </c>
      <c r="E33" s="12" t="s">
        <v>444</v>
      </c>
      <c r="F33" s="12">
        <v>2</v>
      </c>
      <c r="G33" s="23" t="s">
        <v>477</v>
      </c>
    </row>
    <row r="34" spans="1:7" x14ac:dyDescent="0.2">
      <c r="A34" s="12" t="s">
        <v>273</v>
      </c>
      <c r="B34" s="12" t="s">
        <v>8</v>
      </c>
      <c r="C34" s="12" t="s">
        <v>438</v>
      </c>
      <c r="D34" s="12" t="s">
        <v>454</v>
      </c>
      <c r="E34" s="12" t="s">
        <v>440</v>
      </c>
      <c r="F34" s="12">
        <v>1</v>
      </c>
      <c r="G34" s="23" t="s">
        <v>455</v>
      </c>
    </row>
    <row r="35" spans="1:7" x14ac:dyDescent="0.2">
      <c r="A35" s="12" t="s">
        <v>257</v>
      </c>
      <c r="B35" s="12" t="s">
        <v>8</v>
      </c>
      <c r="C35" s="12" t="s">
        <v>438</v>
      </c>
      <c r="D35" s="12" t="s">
        <v>454</v>
      </c>
      <c r="E35" s="12" t="s">
        <v>440</v>
      </c>
      <c r="F35" s="12">
        <v>1</v>
      </c>
      <c r="G35" s="23" t="s">
        <v>455</v>
      </c>
    </row>
    <row r="36" spans="1:7" x14ac:dyDescent="0.2">
      <c r="A36" s="12" t="s">
        <v>242</v>
      </c>
      <c r="B36" s="12" t="s">
        <v>7</v>
      </c>
      <c r="C36" s="12" t="s">
        <v>438</v>
      </c>
      <c r="D36" s="12" t="s">
        <v>478</v>
      </c>
      <c r="E36" s="12" t="s">
        <v>440</v>
      </c>
      <c r="F36" s="12">
        <v>1</v>
      </c>
      <c r="G36" s="23" t="s">
        <v>479</v>
      </c>
    </row>
    <row r="37" spans="1:7" x14ac:dyDescent="0.2">
      <c r="A37" s="12" t="s">
        <v>259</v>
      </c>
      <c r="B37" s="12" t="s">
        <v>10</v>
      </c>
      <c r="C37" s="12" t="s">
        <v>438</v>
      </c>
      <c r="D37" s="12" t="s">
        <v>454</v>
      </c>
      <c r="E37" s="12" t="s">
        <v>440</v>
      </c>
      <c r="F37" s="12">
        <v>1</v>
      </c>
      <c r="G37" s="23" t="s">
        <v>455</v>
      </c>
    </row>
    <row r="38" spans="1:7" x14ac:dyDescent="0.2">
      <c r="A38" s="12" t="s">
        <v>275</v>
      </c>
      <c r="B38" s="12" t="s">
        <v>8</v>
      </c>
      <c r="C38" s="12" t="s">
        <v>438</v>
      </c>
      <c r="D38" s="12" t="s">
        <v>480</v>
      </c>
      <c r="E38" s="12" t="s">
        <v>440</v>
      </c>
      <c r="F38" s="12">
        <v>1</v>
      </c>
      <c r="G38" s="23" t="s">
        <v>481</v>
      </c>
    </row>
    <row r="39" spans="1:7" x14ac:dyDescent="0.2">
      <c r="A39" s="12" t="s">
        <v>264</v>
      </c>
      <c r="B39" s="12" t="s">
        <v>7</v>
      </c>
      <c r="C39" s="12" t="s">
        <v>438</v>
      </c>
      <c r="D39" s="12" t="s">
        <v>478</v>
      </c>
      <c r="E39" s="12" t="s">
        <v>440</v>
      </c>
      <c r="F39" s="12">
        <v>1</v>
      </c>
      <c r="G39" s="23" t="s">
        <v>479</v>
      </c>
    </row>
    <row r="40" spans="1:7" x14ac:dyDescent="0.2">
      <c r="A40" s="12" t="s">
        <v>286</v>
      </c>
      <c r="B40" s="12" t="s">
        <v>6</v>
      </c>
      <c r="C40" s="12" t="s">
        <v>442</v>
      </c>
      <c r="D40" s="12" t="s">
        <v>482</v>
      </c>
      <c r="E40" s="12" t="s">
        <v>440</v>
      </c>
      <c r="F40" s="12">
        <v>1</v>
      </c>
      <c r="G40" s="23" t="s">
        <v>483</v>
      </c>
    </row>
    <row r="41" spans="1:7" x14ac:dyDescent="0.2">
      <c r="A41" s="12" t="s">
        <v>248</v>
      </c>
      <c r="B41" s="12" t="s">
        <v>7</v>
      </c>
      <c r="C41" s="12" t="s">
        <v>438</v>
      </c>
      <c r="D41" s="12" t="s">
        <v>454</v>
      </c>
      <c r="E41" s="12" t="s">
        <v>440</v>
      </c>
      <c r="F41" s="12">
        <v>1</v>
      </c>
      <c r="G41" s="23" t="s">
        <v>455</v>
      </c>
    </row>
    <row r="42" spans="1:7" x14ac:dyDescent="0.2">
      <c r="A42" s="12" t="s">
        <v>251</v>
      </c>
      <c r="B42" s="12" t="s">
        <v>7</v>
      </c>
      <c r="C42" s="12" t="s">
        <v>438</v>
      </c>
      <c r="D42" s="12" t="s">
        <v>454</v>
      </c>
      <c r="E42" s="12" t="s">
        <v>440</v>
      </c>
      <c r="F42" s="12">
        <v>1</v>
      </c>
      <c r="G42" s="23" t="s">
        <v>455</v>
      </c>
    </row>
    <row r="43" spans="1:7" x14ac:dyDescent="0.2">
      <c r="A43" s="12" t="s">
        <v>266</v>
      </c>
      <c r="B43" s="12" t="s">
        <v>7</v>
      </c>
      <c r="C43" s="12" t="s">
        <v>438</v>
      </c>
      <c r="D43" s="12" t="s">
        <v>454</v>
      </c>
      <c r="E43" s="12" t="s">
        <v>440</v>
      </c>
      <c r="F43" s="12">
        <v>1</v>
      </c>
      <c r="G43" s="23" t="s">
        <v>455</v>
      </c>
    </row>
    <row r="44" spans="1:7" ht="30" x14ac:dyDescent="0.2">
      <c r="A44" s="12" t="s">
        <v>279</v>
      </c>
      <c r="B44" s="12" t="s">
        <v>8</v>
      </c>
      <c r="C44" s="12" t="s">
        <v>438</v>
      </c>
      <c r="D44" s="12" t="s">
        <v>484</v>
      </c>
      <c r="E44" s="12" t="s">
        <v>444</v>
      </c>
      <c r="F44" s="12">
        <v>1</v>
      </c>
      <c r="G44" s="23" t="s">
        <v>485</v>
      </c>
    </row>
    <row r="45" spans="1:7" x14ac:dyDescent="0.2">
      <c r="A45" s="12" t="s">
        <v>262</v>
      </c>
      <c r="B45" s="12" t="s">
        <v>11</v>
      </c>
      <c r="C45" s="12" t="s">
        <v>438</v>
      </c>
      <c r="D45" s="12" t="s">
        <v>457</v>
      </c>
      <c r="E45" s="12" t="s">
        <v>440</v>
      </c>
      <c r="F45" s="12">
        <v>1</v>
      </c>
      <c r="G45" s="23" t="s">
        <v>458</v>
      </c>
    </row>
    <row r="46" spans="1:7" x14ac:dyDescent="0.2">
      <c r="A46" s="12" t="s">
        <v>253</v>
      </c>
      <c r="B46" s="12" t="s">
        <v>7</v>
      </c>
      <c r="C46" s="12" t="s">
        <v>438</v>
      </c>
      <c r="D46" s="12" t="s">
        <v>478</v>
      </c>
      <c r="E46" s="12" t="s">
        <v>440</v>
      </c>
      <c r="F46" s="12">
        <v>1</v>
      </c>
      <c r="G46" s="23" t="s">
        <v>479</v>
      </c>
    </row>
    <row r="47" spans="1:7" x14ac:dyDescent="0.2">
      <c r="A47" s="12" t="s">
        <v>255</v>
      </c>
      <c r="B47" s="12" t="s">
        <v>7</v>
      </c>
      <c r="C47" s="12" t="s">
        <v>438</v>
      </c>
      <c r="D47" s="12" t="s">
        <v>478</v>
      </c>
      <c r="E47" s="12" t="s">
        <v>440</v>
      </c>
      <c r="F47" s="12">
        <v>1</v>
      </c>
      <c r="G47" s="23" t="s">
        <v>479</v>
      </c>
    </row>
    <row r="48" spans="1:7" x14ac:dyDescent="0.2">
      <c r="A48" s="12" t="s">
        <v>268</v>
      </c>
      <c r="B48" s="12" t="s">
        <v>7</v>
      </c>
      <c r="C48" s="12" t="s">
        <v>459</v>
      </c>
      <c r="D48" s="12" t="s">
        <v>486</v>
      </c>
      <c r="E48" s="12" t="s">
        <v>440</v>
      </c>
      <c r="F48" s="12">
        <v>1</v>
      </c>
      <c r="G48" s="23" t="s">
        <v>487</v>
      </c>
    </row>
    <row r="49" spans="1:7" x14ac:dyDescent="0.2">
      <c r="A49" s="12" t="s">
        <v>291</v>
      </c>
      <c r="B49" s="12" t="s">
        <v>6</v>
      </c>
      <c r="C49" s="12" t="s">
        <v>438</v>
      </c>
      <c r="D49" s="12" t="s">
        <v>454</v>
      </c>
      <c r="E49" s="12" t="s">
        <v>440</v>
      </c>
      <c r="F49" s="12">
        <v>1</v>
      </c>
      <c r="G49" s="23" t="s">
        <v>455</v>
      </c>
    </row>
    <row r="50" spans="1:7" x14ac:dyDescent="0.2">
      <c r="A50" s="12" t="s">
        <v>283</v>
      </c>
      <c r="B50" s="12" t="s">
        <v>9</v>
      </c>
      <c r="C50" s="12" t="s">
        <v>438</v>
      </c>
      <c r="D50" s="12" t="s">
        <v>488</v>
      </c>
      <c r="E50" s="12" t="s">
        <v>444</v>
      </c>
      <c r="F50" s="12">
        <v>1</v>
      </c>
      <c r="G50" s="23" t="s">
        <v>489</v>
      </c>
    </row>
    <row r="51" spans="1:7" x14ac:dyDescent="0.2">
      <c r="A51" s="12" t="s">
        <v>293</v>
      </c>
      <c r="B51" s="12" t="s">
        <v>6</v>
      </c>
      <c r="C51" s="12" t="s">
        <v>438</v>
      </c>
      <c r="D51" s="12" t="s">
        <v>454</v>
      </c>
      <c r="E51" s="12" t="s">
        <v>440</v>
      </c>
      <c r="F51" s="12">
        <v>1</v>
      </c>
      <c r="G51" s="23" t="s">
        <v>455</v>
      </c>
    </row>
    <row r="52" spans="1:7" x14ac:dyDescent="0.2">
      <c r="A52" s="11" t="s">
        <v>315</v>
      </c>
      <c r="B52" s="11" t="s">
        <v>8</v>
      </c>
      <c r="C52" s="11" t="s">
        <v>438</v>
      </c>
      <c r="D52" s="11" t="s">
        <v>490</v>
      </c>
      <c r="E52" s="21" t="s">
        <v>311</v>
      </c>
      <c r="F52" s="11">
        <v>0</v>
      </c>
      <c r="G52" s="14" t="s">
        <v>491</v>
      </c>
    </row>
    <row r="53" spans="1:7" x14ac:dyDescent="0.2">
      <c r="A53" s="11" t="s">
        <v>295</v>
      </c>
      <c r="B53" s="11" t="s">
        <v>8</v>
      </c>
      <c r="C53" s="11" t="s">
        <v>296</v>
      </c>
      <c r="D53" s="11" t="s">
        <v>486</v>
      </c>
      <c r="E53" s="11" t="s">
        <v>492</v>
      </c>
      <c r="F53" s="11">
        <v>0</v>
      </c>
      <c r="G53" s="14" t="s">
        <v>297</v>
      </c>
    </row>
    <row r="54" spans="1:7" ht="30" x14ac:dyDescent="0.2">
      <c r="A54" s="11" t="s">
        <v>327</v>
      </c>
      <c r="B54" s="11" t="s">
        <v>6</v>
      </c>
      <c r="C54" s="11" t="s">
        <v>438</v>
      </c>
      <c r="D54" s="11" t="s">
        <v>488</v>
      </c>
      <c r="E54" s="21" t="s">
        <v>311</v>
      </c>
      <c r="F54" s="11">
        <v>0</v>
      </c>
      <c r="G54" s="14" t="s">
        <v>493</v>
      </c>
    </row>
    <row r="55" spans="1:7" x14ac:dyDescent="0.2">
      <c r="A55" s="11" t="s">
        <v>330</v>
      </c>
      <c r="B55" s="11" t="s">
        <v>6</v>
      </c>
      <c r="C55" s="11" t="s">
        <v>494</v>
      </c>
      <c r="D55" s="11" t="s">
        <v>495</v>
      </c>
      <c r="E55" s="21" t="s">
        <v>311</v>
      </c>
      <c r="F55" s="11">
        <v>0</v>
      </c>
      <c r="G55" s="14" t="s">
        <v>496</v>
      </c>
    </row>
    <row r="56" spans="1:7" ht="30" x14ac:dyDescent="0.2">
      <c r="A56" s="11" t="s">
        <v>333</v>
      </c>
      <c r="B56" s="11" t="s">
        <v>6</v>
      </c>
      <c r="C56" s="11" t="s">
        <v>438</v>
      </c>
      <c r="D56" s="11" t="s">
        <v>488</v>
      </c>
      <c r="E56" s="21" t="s">
        <v>311</v>
      </c>
      <c r="F56" s="11">
        <v>0</v>
      </c>
      <c r="G56" s="14" t="s">
        <v>497</v>
      </c>
    </row>
    <row r="57" spans="1:7" x14ac:dyDescent="0.2">
      <c r="A57" s="11" t="s">
        <v>336</v>
      </c>
      <c r="B57" s="11" t="s">
        <v>6</v>
      </c>
      <c r="C57" s="11" t="s">
        <v>498</v>
      </c>
      <c r="D57" s="11" t="s">
        <v>471</v>
      </c>
      <c r="E57" s="21" t="s">
        <v>311</v>
      </c>
      <c r="F57" s="11">
        <v>0</v>
      </c>
      <c r="G57" s="14" t="s">
        <v>499</v>
      </c>
    </row>
    <row r="58" spans="1:7" x14ac:dyDescent="0.2">
      <c r="A58" s="11" t="s">
        <v>307</v>
      </c>
      <c r="B58" s="11" t="s">
        <v>6</v>
      </c>
      <c r="C58" s="11" t="s">
        <v>296</v>
      </c>
      <c r="D58" s="11" t="s">
        <v>486</v>
      </c>
      <c r="E58" s="11" t="s">
        <v>492</v>
      </c>
      <c r="F58" s="11">
        <v>0</v>
      </c>
      <c r="G58" s="14" t="s">
        <v>297</v>
      </c>
    </row>
    <row r="59" spans="1:7" x14ac:dyDescent="0.2">
      <c r="A59" s="11" t="s">
        <v>308</v>
      </c>
      <c r="B59" s="11" t="s">
        <v>6</v>
      </c>
      <c r="C59" s="11" t="s">
        <v>296</v>
      </c>
      <c r="D59" s="11" t="s">
        <v>500</v>
      </c>
      <c r="E59" s="11" t="s">
        <v>492</v>
      </c>
      <c r="F59" s="11">
        <v>0</v>
      </c>
      <c r="G59" s="14" t="s">
        <v>297</v>
      </c>
    </row>
    <row r="60" spans="1:7" x14ac:dyDescent="0.2">
      <c r="A60" s="11" t="s">
        <v>319</v>
      </c>
      <c r="B60" s="11" t="s">
        <v>9</v>
      </c>
      <c r="C60" s="11" t="s">
        <v>438</v>
      </c>
      <c r="D60" s="11" t="s">
        <v>473</v>
      </c>
      <c r="E60" s="21" t="s">
        <v>311</v>
      </c>
      <c r="F60" s="11">
        <v>0</v>
      </c>
      <c r="G60" s="14" t="s">
        <v>501</v>
      </c>
    </row>
    <row r="61" spans="1:7" x14ac:dyDescent="0.2">
      <c r="A61" s="11" t="s">
        <v>322</v>
      </c>
      <c r="B61" s="11" t="s">
        <v>9</v>
      </c>
      <c r="C61" s="11" t="s">
        <v>502</v>
      </c>
      <c r="D61" s="11" t="s">
        <v>503</v>
      </c>
      <c r="E61" s="21" t="s">
        <v>311</v>
      </c>
      <c r="F61" s="11">
        <v>0</v>
      </c>
      <c r="G61" s="14" t="s">
        <v>504</v>
      </c>
    </row>
    <row r="62" spans="1:7" x14ac:dyDescent="0.2">
      <c r="A62" s="11" t="s">
        <v>310</v>
      </c>
      <c r="B62" s="11" t="s">
        <v>8</v>
      </c>
      <c r="C62" s="11" t="s">
        <v>505</v>
      </c>
      <c r="D62" s="11" t="s">
        <v>478</v>
      </c>
      <c r="E62" s="21" t="s">
        <v>311</v>
      </c>
      <c r="F62" s="11">
        <v>0</v>
      </c>
      <c r="G62" s="14" t="s">
        <v>506</v>
      </c>
    </row>
    <row r="63" spans="1:7" x14ac:dyDescent="0.2">
      <c r="A63" s="11" t="s">
        <v>340</v>
      </c>
      <c r="B63" s="11" t="s">
        <v>6</v>
      </c>
      <c r="C63" s="11" t="s">
        <v>498</v>
      </c>
      <c r="D63" s="11" t="s">
        <v>507</v>
      </c>
      <c r="E63" s="21" t="s">
        <v>311</v>
      </c>
      <c r="F63" s="11">
        <v>0</v>
      </c>
      <c r="G63" s="14" t="s">
        <v>499</v>
      </c>
    </row>
    <row r="64" spans="1:7" x14ac:dyDescent="0.2">
      <c r="A64" s="11" t="s">
        <v>303</v>
      </c>
      <c r="B64" s="11" t="s">
        <v>9</v>
      </c>
      <c r="C64" s="11" t="s">
        <v>296</v>
      </c>
      <c r="D64" s="11" t="s">
        <v>500</v>
      </c>
      <c r="E64" s="11" t="s">
        <v>492</v>
      </c>
      <c r="F64" s="11">
        <v>0</v>
      </c>
      <c r="G64" s="14" t="s">
        <v>297</v>
      </c>
    </row>
    <row r="65" spans="1:7" x14ac:dyDescent="0.2">
      <c r="A65" s="11" t="s">
        <v>299</v>
      </c>
      <c r="B65" s="11" t="s">
        <v>10</v>
      </c>
      <c r="C65" s="11" t="s">
        <v>296</v>
      </c>
      <c r="D65" s="11" t="s">
        <v>490</v>
      </c>
      <c r="E65" s="11" t="s">
        <v>492</v>
      </c>
      <c r="F65" s="11">
        <v>0</v>
      </c>
      <c r="G65" s="14" t="s">
        <v>297</v>
      </c>
    </row>
    <row r="66" spans="1:7" x14ac:dyDescent="0.2">
      <c r="A66" s="11" t="s">
        <v>299</v>
      </c>
      <c r="B66" s="11" t="s">
        <v>10</v>
      </c>
      <c r="C66" s="11" t="s">
        <v>296</v>
      </c>
      <c r="D66" s="11" t="s">
        <v>486</v>
      </c>
      <c r="E66" s="11" t="s">
        <v>492</v>
      </c>
      <c r="F66" s="11">
        <v>0</v>
      </c>
      <c r="G66" s="14" t="s">
        <v>297</v>
      </c>
    </row>
    <row r="67" spans="1:7" x14ac:dyDescent="0.2">
      <c r="A67" s="11" t="s">
        <v>299</v>
      </c>
      <c r="B67" s="11" t="s">
        <v>10</v>
      </c>
      <c r="C67" s="11" t="s">
        <v>296</v>
      </c>
      <c r="D67" s="11" t="s">
        <v>486</v>
      </c>
      <c r="E67" s="11" t="s">
        <v>492</v>
      </c>
      <c r="F67" s="11">
        <v>0</v>
      </c>
      <c r="G67" s="14" t="s">
        <v>297</v>
      </c>
    </row>
    <row r="68" spans="1:7" x14ac:dyDescent="0.2">
      <c r="A68" s="11" t="s">
        <v>299</v>
      </c>
      <c r="B68" s="11" t="s">
        <v>10</v>
      </c>
      <c r="C68" s="11" t="s">
        <v>296</v>
      </c>
      <c r="D68" s="11" t="s">
        <v>486</v>
      </c>
      <c r="E68" s="11" t="s">
        <v>492</v>
      </c>
      <c r="F68" s="11">
        <v>0</v>
      </c>
      <c r="G68" s="14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Stats</vt:lpstr>
      <vt:lpstr>2. Exec Summary (CEO-CRO)</vt:lpstr>
      <vt:lpstr>3. Owner Scorecard</vt:lpstr>
      <vt:lpstr>4. Deal-Level Tracker</vt:lpstr>
      <vt:lpstr>5. Large-Stuck-Attention</vt:lpstr>
      <vt:lpstr>6. Pending-on-Customer Check</vt:lpstr>
      <vt:lpstr>7. Customer Category</vt:lpstr>
      <vt:lpstr>8. Re-grade (value+brand)</vt:lpstr>
      <vt:lpstr>9. Comparison &amp; 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Ketan Sabnis</cp:lastModifiedBy>
  <cp:revision>0</cp:revision>
  <dcterms:created xsi:type="dcterms:W3CDTF">2026-06-29T06:37:12Z</dcterms:created>
  <dcterms:modified xsi:type="dcterms:W3CDTF">2026-06-29T06:54:13Z</dcterms:modified>
  <dc:language>en-US</dc:language>
</cp:coreProperties>
</file>